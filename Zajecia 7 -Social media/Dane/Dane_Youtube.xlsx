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queryTables/queryTable10.xml" ContentType="application/vnd.openxmlformats-officedocument.spreadsheetml.queryTable+xml"/>
  <Override PartName="/xl/tables/table13.xml" ContentType="application/vnd.openxmlformats-officedocument.spreadsheetml.table+xml"/>
  <Override PartName="/xl/queryTables/queryTable1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ttps://d.docs.live.net/71160f026d85cc38/Karowa/Big Data - Karowa/Zajecia 10/"/>
    </mc:Choice>
  </mc:AlternateContent>
  <xr:revisionPtr revIDLastSave="21" documentId="13_ncr:1_{44417C55-9D7F-4037-B406-0DBC12294BC0}" xr6:coauthVersionLast="47" xr6:coauthVersionMax="47" xr10:uidLastSave="{605A63FA-F243-4967-9547-9C4DFF455F3E}"/>
  <bookViews>
    <workbookView xWindow="3975" yWindow="3975" windowWidth="21600" windowHeight="11295" activeTab="4" xr2:uid="{906CC01D-DBA7-4D5B-89DE-EBB7C093B60F}"/>
  </bookViews>
  <sheets>
    <sheet name="Linki" sheetId="1" r:id="rId1"/>
    <sheet name="ChannelID" sheetId="2" r:id="rId2"/>
    <sheet name="Playlisty" sheetId="4" r:id="rId3"/>
    <sheet name="Video" sheetId="5" r:id="rId4"/>
    <sheet name="Komentarze" sheetId="8" r:id="rId5"/>
    <sheet name="Paginacja" sheetId="7" r:id="rId6"/>
  </sheets>
  <definedNames>
    <definedName name="ExternalData_1" localSheetId="1" hidden="1">ChannelID!$B$17:$M$18</definedName>
    <definedName name="ExternalData_1" localSheetId="4" hidden="1">Komentarze!$D$21:$W$41</definedName>
    <definedName name="ExternalData_1" localSheetId="5" hidden="1">Paginacja!$B$23:$C$29</definedName>
    <definedName name="ExternalData_1" localSheetId="2" hidden="1">Playlisty!$B$17:$K$22</definedName>
    <definedName name="ExternalData_1" localSheetId="3" hidden="1">Video!$B$18:$C$29</definedName>
    <definedName name="ExternalData_2" localSheetId="1" hidden="1">ChannelID!$B$34:$C$38</definedName>
    <definedName name="ExternalData_2" localSheetId="5" hidden="1">Paginacja!$B$34:$M$39</definedName>
    <definedName name="ExternalData_2" localSheetId="2" hidden="1">Playlisty!$B$40:$K$60</definedName>
    <definedName name="ExternalData_2" localSheetId="3" hidden="1">Video!$B$42:$C$45</definedName>
    <definedName name="ExternalData_3" localSheetId="5" hidden="1">Paginacja!$B$56:$C$63</definedName>
    <definedName name="ExternalData_4" localSheetId="5" hidden="1">Paginacja!$B$69:$L$74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7" l="1"/>
  <c r="B51" i="7" s="1"/>
  <c r="B15" i="7" l="1"/>
  <c r="D15" i="8"/>
  <c r="B37" i="5"/>
  <c r="B12" i="5" l="1"/>
  <c r="B35" i="4"/>
  <c r="B31" i="2" l="1"/>
  <c r="B12" i="4"/>
  <c r="B1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34FC73-43E5-4F41-A9ED-20E7A659E0CB}" keepAlive="1" name="Query - ID_Kanalu" description="Connection to the 'ID_Kanalu' query in the workbook." type="5" refreshedVersion="6" background="1" saveData="1">
    <dbPr connection="Provider=Microsoft.Mashup.OleDb.1;Data Source=$Workbook$;Location=ID_Kanalu;Extended Properties=&quot;&quot;" command="SELECT * FROM [ID_Kanalu]"/>
  </connection>
  <connection id="2" xr16:uid="{96A92703-358A-44FC-9580-964019967734}" keepAlive="1" name="Query - Kanal_Statystyki" description="Connection to the 'Kanal_Statystyki' query in the workbook." type="5" refreshedVersion="6" background="1" saveData="1">
    <dbPr connection="Provider=Microsoft.Mashup.OleDb.1;Data Source=$Workbook$;Location=Kanal_Statystyki;Extended Properties=&quot;&quot;" command="SELECT * FROM [Kanal_Statystyki]"/>
  </connection>
  <connection id="3" xr16:uid="{B5670917-C166-45B6-9CE9-9B2D3E03BCAA}" keepAlive="1" name="Query - Komentarze" description="Connection to the 'Komentarze' query in the workbook." type="5" refreshedVersion="6" background="1" saveData="1">
    <dbPr connection="Provider=Microsoft.Mashup.OleDb.1;Data Source=$Workbook$;Location=Komentarze;Extended Properties=&quot;&quot;" command="SELECT * FROM [Komentarze]"/>
  </connection>
  <connection id="4" xr16:uid="{B131BE51-E092-4536-B729-F4C8BEC47671}" keepAlive="1" name="Query - PaginationToken" description="Connection to the 'PaginationToken' query in the workbook." type="5" refreshedVersion="0" background="1">
    <dbPr connection="Provider=Microsoft.Mashup.OleDb.1;Data Source=$Workbook$;Location=PaginationToken;Extended Properties=&quot;&quot;" command="SELECT * FROM [PaginationToken]"/>
  </connection>
  <connection id="5" xr16:uid="{F612AE65-D953-4972-89D1-8C015248969E}" keepAlive="1" name="Query - Playlista_Zawartosc" description="Connection to the 'Playlista_Zawartosc' query in the workbook." type="5" refreshedVersion="6" background="1" saveData="1">
    <dbPr connection="Provider=Microsoft.Mashup.OleDb.1;Data Source=$Workbook$;Location=Playlista_Zawartosc;Extended Properties=&quot;&quot;" command="SELECT * FROM [Playlista_Zawartosc]"/>
  </connection>
  <connection id="6" xr16:uid="{722BC8C7-CC8C-4729-AF1D-E79F1861D58F}" keepAlive="1" name="Query - Playlisty" description="Connection to the 'Playlisty' query in the workbook." type="5" refreshedVersion="6" background="1" saveData="1">
    <dbPr connection="Provider=Microsoft.Mashup.OleDb.1;Data Source=$Workbook$;Location=Playlisty;Extended Properties=&quot;&quot;" command="SELECT * FROM [Playlisty]"/>
  </connection>
  <connection id="7" xr16:uid="{A159457A-4D1B-4029-A199-705CF9F094E9}" keepAlive="1" name="Query - Rammstein_Paginacja_Pierwszt" description="Connection to the 'Rammstein_Paginacja_Pierwszt' query in the workbook." type="5" refreshedVersion="6" background="1" saveData="1">
    <dbPr connection="Provider=Microsoft.Mashup.OleDb.1;Data Source=$Workbook$;Location=Rammstein_Paginacja_Pierwszt;Extended Properties=&quot;&quot;" command="SELECT * FROM [Rammstein_Paginacja_Pierwszt]"/>
  </connection>
  <connection id="8" xr16:uid="{6E6867BB-5902-4572-961F-D162B20C1A60}" keepAlive="1" name="Query - Rammstein_Paginacja_Pierwszy" description="Connection to the 'Rammstein_Paginacja_Pierwszy' query in the workbook." type="5" refreshedVersion="6" background="1" saveData="1">
    <dbPr connection="Provider=Microsoft.Mashup.OleDb.1;Data Source=$Workbook$;Location=Rammstein_Paginacja_Pierwszy;Extended Properties=&quot;&quot;" command="SELECT * FROM [Rammstein_Paginacja_Pierwszy]"/>
  </connection>
  <connection id="9" xr16:uid="{B18F26E7-9F80-413D-9EBC-B33795A6ECEE}" keepAlive="1" name="Query - Rammstein_Paginacja_ZmiennyDane" description="Connection to the 'Rammstein_Paginacja_ZmiennyDane' query in the workbook." type="5" refreshedVersion="6" background="1" saveData="1">
    <dbPr connection="Provider=Microsoft.Mashup.OleDb.1;Data Source=$Workbook$;Location=Rammstein_Paginacja_ZmiennyDane;Extended Properties=&quot;&quot;" command="SELECT * FROM [Rammstein_Paginacja_ZmiennyDane]"/>
  </connection>
  <connection id="10" xr16:uid="{47C497F2-1CBC-4BC4-9F7C-D927677A0721}" keepAlive="1" name="Query - Rammstein_Paginacja_ZmiennyDane (2)" description="Connection to the 'Rammstein_Paginacja_ZmiennyDane (2)' query in the workbook." type="5" refreshedVersion="6" background="1" saveData="1">
    <dbPr connection="Provider=Microsoft.Mashup.OleDb.1;Data Source=$Workbook$;Location=Rammstein_Paginacja_ZmiennyDane (2);Extended Properties=&quot;&quot;" command="SELECT * FROM [Rammstein_Paginacja_ZmiennyDane (2)]"/>
  </connection>
  <connection id="11" xr16:uid="{30969FC1-E484-4372-8A2F-AD5734349F78}" keepAlive="1" name="Query - Statystyki Video" description="Connection to the 'Statystyki Video' query in the workbook." type="5" refreshedVersion="6" background="1" saveData="1">
    <dbPr connection="Provider=Microsoft.Mashup.OleDb.1;Data Source=$Workbook$;Location=&quot;Statystyki Video&quot;;Extended Properties=&quot;&quot;" command="SELECT * FROM [Statystyki Video]"/>
  </connection>
  <connection id="12" xr16:uid="{C5FCE5E0-A9B7-43DA-92E3-52B3F24BB5DD}" keepAlive="1" name="Query - Token" description="Connection to the 'Token' query in the workbook." type="5" refreshedVersion="6" background="1">
    <dbPr connection="Provider=Microsoft.Mashup.OleDb.1;Data Source=$Workbook$;Location=Token;Extended Properties=&quot;&quot;" command="SELECT * FROM [Token]"/>
  </connection>
  <connection id="13" xr16:uid="{DC9B146D-4EEA-4BF4-BB60-FA25E528D8A2}" keepAlive="1" name="Query - Video" description="Connection to the 'Video' query in the workbook." type="5" refreshedVersion="6" background="1" saveData="1">
    <dbPr connection="Provider=Microsoft.Mashup.OleDb.1;Data Source=$Workbook$;Location=Video;Extended Properties=&quot;&quot;" command="SELECT * FROM [Video]"/>
  </connection>
</connections>
</file>

<file path=xl/sharedStrings.xml><?xml version="1.0" encoding="utf-8"?>
<sst xmlns="http://schemas.openxmlformats.org/spreadsheetml/2006/main" count="887" uniqueCount="471">
  <si>
    <t>https://www.youtube.com/c/RMF24Video</t>
  </si>
  <si>
    <t>Będziemy ćwiczyć na kanale RMF FM</t>
  </si>
  <si>
    <t>https://developers.google.com/youtube/v3</t>
  </si>
  <si>
    <t>https://console.cloud.google.com/</t>
  </si>
  <si>
    <t>Konsola Google:</t>
  </si>
  <si>
    <t>Youtube API:</t>
  </si>
  <si>
    <t>Linki:</t>
  </si>
  <si>
    <t>Na dzisiejszych zajęciach wykorzystamy API Youtube do pobierania informacji o filmach</t>
  </si>
  <si>
    <t>https://developers.google.com/youtube/v3/guides/working_with_channel_ids</t>
  </si>
  <si>
    <t>Znajdywanie ID użytkownika</t>
  </si>
  <si>
    <t>Źródło:</t>
  </si>
  <si>
    <t>https://youtube.googleapis.com/youtube/v3/search?part=snippet&amp;q=RMF24Video&amp;type=channel&amp;key=[YOUR_API_KEY]</t>
  </si>
  <si>
    <t>Link API:</t>
  </si>
  <si>
    <t>API Key</t>
  </si>
  <si>
    <t>Column1.kind</t>
  </si>
  <si>
    <t>Column1.etag</t>
  </si>
  <si>
    <t>Column1.id.kind</t>
  </si>
  <si>
    <t>Column1.id.channelId</t>
  </si>
  <si>
    <t>Column1.snippet.publishedAt</t>
  </si>
  <si>
    <t>Column1.snippet.channelId</t>
  </si>
  <si>
    <t>Column1.snippet.title</t>
  </si>
  <si>
    <t>Column1.snippet.description</t>
  </si>
  <si>
    <t>Column1.snippet.thumbnails</t>
  </si>
  <si>
    <t>Column1.snippet.channelTitle</t>
  </si>
  <si>
    <t>Column1.snippet.liveBroadcastContent</t>
  </si>
  <si>
    <t>Column1.snippet.publishTime</t>
  </si>
  <si>
    <t>youtube#searchResult</t>
  </si>
  <si>
    <t>youtube#channel</t>
  </si>
  <si>
    <t>UCkC9YgH_FlqOhOIoTDFt4CA</t>
  </si>
  <si>
    <t>2013-08-27T13:26:07Z</t>
  </si>
  <si>
    <t>RMF24</t>
  </si>
  <si>
    <t>Najświeższe wiadomości z kraju i świata przygotowywane przez dziennikarzy i korespondentów RMF FM. Codzienna ...</t>
  </si>
  <si>
    <t>[Record]</t>
  </si>
  <si>
    <t>nBQE053fbwPDSRVLNnzjTZuSaug</t>
  </si>
  <si>
    <t>none</t>
  </si>
  <si>
    <t>Z naszym tokenem:</t>
  </si>
  <si>
    <t>Zapytamy o statystyki</t>
  </si>
  <si>
    <t>https://youtube.googleapis.com/youtube/v3/channels?part=statistics&amp;id=UCkC9YgH_FlqOhOIoTDFt4CA&amp;key=[YOUR_API_KEY]</t>
  </si>
  <si>
    <t>Name</t>
  </si>
  <si>
    <t>Value</t>
  </si>
  <si>
    <t>viewCount</t>
  </si>
  <si>
    <t>125275692</t>
  </si>
  <si>
    <t>subscriberCount</t>
  </si>
  <si>
    <t>185000</t>
  </si>
  <si>
    <t>hiddenSubscriberCount</t>
  </si>
  <si>
    <t>videoCount</t>
  </si>
  <si>
    <t>4320</t>
  </si>
  <si>
    <t>https://developers.google.com/youtube/v3/docs/playlists/list</t>
  </si>
  <si>
    <t>Przeglądamy playlisty</t>
  </si>
  <si>
    <t>https://youtube.googleapis.com/youtube/v3/playlists?part=snippet&amp;channelId=UCkC9YgH_FlqOhOIoTDFt4CA&amp;key=[YOUR_API_KEY]</t>
  </si>
  <si>
    <t>Dane:</t>
  </si>
  <si>
    <t>https://sqlitybi.com/formula-firewall-error-referencing-queries-r-python-scripts/</t>
  </si>
  <si>
    <t>Łączenie kwerend - ustawienia prywatności:</t>
  </si>
  <si>
    <t>Informacje:</t>
  </si>
  <si>
    <t>Column1.id</t>
  </si>
  <si>
    <t>Column1.snippet.localized</t>
  </si>
  <si>
    <t>youtube#playlist</t>
  </si>
  <si>
    <t>L-tlksg54fpG3lSZIpiNlP2qqHE</t>
  </si>
  <si>
    <t>PLcrRSEwRMEPVCEWzV6er8x2KuV6xOJGBo</t>
  </si>
  <si>
    <t>2022-03-28T10:51:07Z</t>
  </si>
  <si>
    <t>Rozmowa w południe w RMF FM</t>
  </si>
  <si>
    <t/>
  </si>
  <si>
    <t>nHiiqD2vo_wGpbuBSYvlqX9uwq4</t>
  </si>
  <si>
    <t>PLcrRSEwRMEPV2xA4-rCby5M6xl2GPE7z2</t>
  </si>
  <si>
    <t>2022-02-24T12:52:06Z</t>
  </si>
  <si>
    <t>Atak Rosji na Ukrainę - Specjalne wydanie Rozmów RMF FM</t>
  </si>
  <si>
    <t>HxLYV8gpZpWzs1HKdB9kTF-7-bw</t>
  </si>
  <si>
    <t>PLcrRSEwRMEPVOCPkLgBP6p0w_5PvdOHSv</t>
  </si>
  <si>
    <t>2021-10-28T08:12:13Z</t>
  </si>
  <si>
    <t>Patronaty</t>
  </si>
  <si>
    <t>7mfsC4DkSTFpnpp86N8dydeg-lY</t>
  </si>
  <si>
    <t>PLcrRSEwRMEPUZMWs6uWBd2hleWyUILXIK</t>
  </si>
  <si>
    <t>2021-09-04T08:01:16Z</t>
  </si>
  <si>
    <t>Gość Krzysztofa Ziemca w RMF FM 2021/2022</t>
  </si>
  <si>
    <t>VArvmBIv5VGZfYyIhENWaXaeXqY</t>
  </si>
  <si>
    <t>PLcrRSEwRMEPUQc03432nZU2IJzqYGLCFR</t>
  </si>
  <si>
    <t>2021-09-02T08:14:07Z</t>
  </si>
  <si>
    <t>Poranna rozmowa w RMF FM. Sezon 2021/2022</t>
  </si>
  <si>
    <t>Zawartość - Gość Krzysztofa Ziemca</t>
  </si>
  <si>
    <t xml:space="preserve">https://youtube.googleapis.com/youtube/v3/playlistItems?part=snippet&amp;maxResults=20&amp;playlistId=PLcrRSEwRMEPUZMWs6uWBd2hleWyUILXIK&amp;key=[YOUR_API_KEY] </t>
  </si>
  <si>
    <t>Wybierzemy ostatnie 20 filmów.</t>
  </si>
  <si>
    <t>https://developers.google.com/youtube/v3/docs/playlistItems/list</t>
  </si>
  <si>
    <t>Column1.snippet.playlistId</t>
  </si>
  <si>
    <t>Column1.snippet.position</t>
  </si>
  <si>
    <t>Column1.snippet.resourceId.kind</t>
  </si>
  <si>
    <t>Column1.snippet.resourceId.videoId</t>
  </si>
  <si>
    <t>youtube#playlistItem</t>
  </si>
  <si>
    <t>8t-KVSuAqV3JQV0BxWxi8CT7tOQ</t>
  </si>
  <si>
    <t>UExjclJTRXdSTUVQVVpNV3M2dVdCZDJobGVXeVVJTFhJSy41NkI0NEY2RDEwNTU3Q0M2</t>
  </si>
  <si>
    <t>2021-09-04T08:01:24Z</t>
  </si>
  <si>
    <t>Premier Mateusz Morawiecki w RMF FM: Jeśli będzie potrzeba, przedłużymy stan wyjątkowy</t>
  </si>
  <si>
    <t>"Jeżeli będzie trzeba, to te 30 dni zostanie przedłużone" - tak o stanie wyjątkowym wprowadzony na granicy z Białorusią mówił premier Mateusz Morawiecki, Gość Krzysztofa Ziemca w RMF FM. "Nie zakładam tego dzisiaj, ale nie wykluczam takiej ewentualności - to jest moje zobowiązanie wobec obywateli, musimy bronić granicy" - zapewnił szef rządu.</t>
  </si>
  <si>
    <t>youtube#video</t>
  </si>
  <si>
    <t>_GRz_GsSb6w</t>
  </si>
  <si>
    <t>xCMkn7hEWCx0IhY8hVR4UK-gfUE</t>
  </si>
  <si>
    <t>UExjclJTRXdSTUVQVVpNV3M2dVdCZDJobGVXeVVJTFhJSy4yODlGNEE0NkRGMEEzMEQy</t>
  </si>
  <si>
    <t>2021-09-11T07:31:32Z</t>
  </si>
  <si>
    <t>Abp Wojciech Polak: Stefan Wyszyński potrafił się upomnieć o każdego człowieka</t>
  </si>
  <si>
    <t>Dla Polaków niedzielna uroczystość beatyfikacyjna kardynała Stefana Wyszyńskiego i Matki Elżbiety Róży Czackiej to lekcja tego, jak można żyć w kontekście ówczesnych czasów. Wspólnym mianownikiem obu tych postaci było to, że potrafiły rozeznać wolę Bożą I ją wypełniać – mówi gość Krzysztofa Ziemca w RMF FM prymas Polski abp Wojciech Polak.</t>
  </si>
  <si>
    <t>nAhKWPuzDxU</t>
  </si>
  <si>
    <t>KsswtztXsCnrExmWVHUeNC88C-E</t>
  </si>
  <si>
    <t>UExjclJTRXdSTUVQVVpNV3M2dVdCZDJobGVXeVVJTFhJSy4wMTcyMDhGQUE4NTIzM0Y5</t>
  </si>
  <si>
    <t>2021-09-18T08:01:19Z</t>
  </si>
  <si>
    <t>Brudziński: Nie wyobrażam sobie, żeby Polska nie była w UE</t>
  </si>
  <si>
    <t>"Prawo i Sprawiedliwość od początku obecności w Unii Europejskiej uważało, że nasza obecność jest dobra dla Polski. Nie wyobrażam sobie dzisiaj takiej sytuacji, żeby w UE nie być, bo byłoby to olbrzymią strata dla nie tylko współczesnych, ale i przyszłych pokoleń" - powiedział Gość Krzysztofa Ziemca w RMF FM Joachim Brudziński. "Jeżeli dzisiaj PiS próbuje się czynić tymi, którzy rzekomo chcą Polskę z Unii Europejskiej wyprowadzać, to jest czysta demagogia" - dodał europoseł PiS.</t>
  </si>
  <si>
    <t>Pefa4CB_g0k</t>
  </si>
  <si>
    <t>b4SFUi6PQqE0U8-0f2FL-8k1hwo</t>
  </si>
  <si>
    <t>UExjclJTRXdSTUVQVVpNV3M2dVdCZDJobGVXeVVJTFhJSy41MjE1MkI0OTQ2QzJGNzNG</t>
  </si>
  <si>
    <t>2021-09-25T07:44:36Z</t>
  </si>
  <si>
    <t>Zbigniew Ziobro o sporze wokół Turowa: To wojna o energetykę. Wielka operacja Niemiec i Rosji</t>
  </si>
  <si>
    <t>"Spór o Turów trzeba widzieć w szerszym kontekście wojny o energetykę, która odbywa się w Europie. Oczywiście to nie jest tak przedstawiane - mówi się o idei obrony klimatu. Ale tak naprawdę jest to wielka operacja Niemiec i Rosji" - mówi Gość Krzysztofa Ziemca Zbigniew Ziobro pytany o spór wokół kopalni Turów."Rzecz zmierza do tego, aby Polska w większym stopniu była zależna i kupowała, płaciła, aby ktoś na tym zarabiał. Tak naprawdę, jeśli ktoś nie wie o co chodzi, to chodzi o pieniądze" - dodaje minister sprawiedliwości i prokurator generalny. "Polska do tej pory była samodzielna energetycznie, posiadała duże zasoby węgla. Polityka klimatyczna sprawia, że UE nakłada parapodatek i produkcja węgla przestaje się opłacać" – ocenia Ziobro.</t>
  </si>
  <si>
    <t>JryXlhOazSo</t>
  </si>
  <si>
    <t>P1wGyWPLEIK76IFBFz9vYih7Mnk</t>
  </si>
  <si>
    <t>UExjclJTRXdSTUVQVVpNV3M2dVdCZDJobGVXeVVJTFhJSy4xMkVGQjNCMUM1N0RFNEUx</t>
  </si>
  <si>
    <t>2021-10-02T07:28:49Z</t>
  </si>
  <si>
    <t>Kurtyka o negocjacjach ws. Turowa: Czesi na ostatniej prostej zmienili oczekiwania</t>
  </si>
  <si>
    <t>"Przywieźliśmy do Pragi bardzo dobrą ofertę, która wychodzi naprzeciw społeczności lokalnej" – mówi minister klimatu Michał Kurtyka po rozmowach z Czechami w sprawie Turowa. I powtarza słowa o "eskalacji żądań". "Nie ma woli politycznej. Oni (Czesi – red.) na ostatniej prostej zmienili swoje oczekiwania" – stwierdza Gość Krzysztofa Ziemca w RMF FM. I wyjaśnia: "Żaden polski minister nie zgodzi się nigdy na podpisanie umowy, która jest niewypowiadalna. (...) Jesteśmy gotowi podpisać umowę na czas obowiązywania działalności górniczej".</t>
  </si>
  <si>
    <t>9E2o5bcUpxo</t>
  </si>
  <si>
    <t>zMtgwgYxuau2a_l9RhJg4pkS-sk</t>
  </si>
  <si>
    <t>UExjclJTRXdSTUVQVVpNV3M2dVdCZDJobGVXeVVJTFhJSy5DQUNERDQ2NkIzRUQxNTY1</t>
  </si>
  <si>
    <t>2021-10-09T07:34:30Z</t>
  </si>
  <si>
    <t>Szymon Hołownia: W niedzielę będę z ludźmi. Nie wiem, czy z liderami</t>
  </si>
  <si>
    <t>"Donald Tusk nie tyle dzwonił i namawiał, co dzwonił i poinformował, że przygotowuje taką demonstrację, że zarezerwowano miejsce i co ja na to. Odpowiedziałem zgodnie z największym przekonaniem, że powinniśmy jak najszybciej znaleźć formułę, w której cała opozycja demokratyczna będzie mogła - tak jak to miało miejsce i udało się przy okazji Rzeszowa i kandydata na prezydenta - stanąć i stworzyć takie miejsce, w którym wszyscy się zmieścimy" - mówił Gość Krzysztofa Ziemca w RMF FM Szymon Hołownia o rozmowie z Donaldem Tuskiem o niedzielnym marszu na Placu Zamkowym w Warszawie. Lider PO wezwał "wszystkich, którzy chcą bronić Polski europejskiej" na demonstrację w stolicy.</t>
  </si>
  <si>
    <t>qBZe2w_Psz0</t>
  </si>
  <si>
    <t>Oq0JmxiF_-draMA2jVlJ_utSJUQ</t>
  </si>
  <si>
    <t>UExjclJTRXdSTUVQVVpNV3M2dVdCZDJobGVXeVVJTFhJSy5GNjNDRDREMDQxOThCMDQ2</t>
  </si>
  <si>
    <t>2021-10-16T07:25:41Z</t>
  </si>
  <si>
    <t>Jarosław Kaczyński: Ja nie jestem w rządzie od wszystkiego</t>
  </si>
  <si>
    <t>„Taka perspektywa istnieje, ale kiedy to nastąpi, to Bóg jeden wie. Ja mogę powiedzieć, że wybrany jestem, jako szef partii oczywiście, a nie jako wicepremier, do roku '25” – mówił Jarosław Kaczyński, gość Krzysztofa Ziemca w RMF FM, pytany o swoją polityczną emeryturę. Dodał też, że nie ukrywał nigdy tego, że zamierza opuścić rząd.</t>
  </si>
  <si>
    <t>BjrD6Lwuyig</t>
  </si>
  <si>
    <t>SzgievHYDJCKSk-N84V3j1cPQK0</t>
  </si>
  <si>
    <t>UExjclJTRXdSTUVQVVpNV3M2dVdCZDJobGVXeVVJTFhJSy5EMEEwRUY5M0RDRTU3NDJC</t>
  </si>
  <si>
    <t>2021-10-23T08:31:07Z</t>
  </si>
  <si>
    <t>Kosiniak-Kamysz: Tusk to waga ciężka polityki, ale bez 7-8 % PSL-u i tak nie da się wygrać wyborów</t>
  </si>
  <si>
    <t>„To nie była debata, to było wystąpienie premiera, gdzie każdy z klubów uciekał się do jednominutowego wniosku formalnego, żeby przynajmniej powiedzieć dwa zdania. To jaka to jest debata? Premier pojechał na debatę, żeby słuchać oklasków Alternatywy dla Niemiec i później się spotykać z Marine Le Pen. Po co to spotkanie z Le Pen, której bliżej do Moskwy niż do Warszawy” – tak o dyskusji w Parlamencie Europejskim dotyczącej Polski mówił Gość Krzysztofa Ziemca w RMF FM Władysław Kosiniak-Kamysz.</t>
  </si>
  <si>
    <t>r5ZAMixhENI</t>
  </si>
  <si>
    <t>pm24tOIVWlGyNapCac-3hHnbshc</t>
  </si>
  <si>
    <t>UExjclJTRXdSTUVQVVpNV3M2dVdCZDJobGVXeVVJTFhJSy4zMDg5MkQ5MEVDMEM1NTg2</t>
  </si>
  <si>
    <t>2021-10-30T07:35:59Z</t>
  </si>
  <si>
    <t>Błaszczyk: W Klinice Budzik udało się wybudzić 60 proc. pacjentów</t>
  </si>
  <si>
    <t>Od 2013 roku w Klinice Budzik udało się wybudzić 86 osób, to jest dobre 60 proc. pacjentów - mówi w rozmowie z Krzysztofem Ziemcem w RMF FM Ewa Błaszczyk, aktorka, założycielka fundacji "Akogo?". Wskazuje, że wiele zależy od uszkodzenia mózgu. "Po prostu co jest uszkodzone, gdzie, ale przede wszystkim ten pierwszy krok, czyli czy to jest komunikacyjny np. wypadek i to jest lokalne uszkodzenie mózgu. Czy to jest np. powieszenie, utopienie i to wszystko było niedotlenione, to już znacznie trudniejsze opowiadanie" - dodaje.</t>
  </si>
  <si>
    <t>UfK8obCCMPE</t>
  </si>
  <si>
    <t>HnRQzkBpQFWS5ZSNmSN9fBd06Nc</t>
  </si>
  <si>
    <t>UExjclJTRXdSTUVQVVpNV3M2dVdCZDJobGVXeVVJTFhJSy5EQUE1NTFDRjcwMDg0NEMz</t>
  </si>
  <si>
    <t>2021-11-07T10:44:45Z</t>
  </si>
  <si>
    <t>Rząd zaostrzy obostrzenia covidowe? Niedzielski: Przyjęliśmy inną politykę walki</t>
  </si>
  <si>
    <t>"Przyjęliśmy nieco inną, niż w poprzednich falach koronawirusa, politykę walki z pandemią. Nie zwiększamy poziomu restrykcji, chcemy, żeby ze względu na naturalną odporność uzyskaną przez szczepienia, przejść jak najmniejszym kosztem ekonomiczno-społecznym przez tę falę” – powiedział w programie Gość Krzysztofa Ziemca w RMF FM Adam Niedzielski. "Jeżeli na Podlasiu i w województwie lubelskim będziemy widzieli, że ta polityka jest dobra, pozwala przejść falę bez restrykcji, to będziemy mieli świadomość, że kolejne fale będą pod coraz większą naszą kontrolą” – przyznał minister zdrowia.</t>
  </si>
  <si>
    <t>5CigxkhZHrc</t>
  </si>
  <si>
    <t>dq-zDI9-ZmEHf0gvcl7wG-ZMXrY</t>
  </si>
  <si>
    <t>UExjclJTRXdSTUVQVVpNV3M2dVdCZDJobGVXeVVJTFhJSy4yMUQyQTQzMjRDNzMyQTMy</t>
  </si>
  <si>
    <t>2021-11-13T08:33:43Z</t>
  </si>
  <si>
    <t>Kamiński o słowach Bidena ws. kryzysu na granicy: Są ważne, pójdą za nimi dalsze działania</t>
  </si>
  <si>
    <t>"To ważne słowa. To pokazuje, że Stany Zjednoczone bardzo uważnie przyglądają się temu, co się dzieje w naszym regionie, co więcej - są gotowe działać" - mówił Gość Krzysztofa w RMF FM - minister spraw wewnętrznych i administracji Mariusz Błaszczak, komentując pierwszą publiczną wypowiedź prezydenta USA Joe Bidena o sytuacji na polsko-białoruskiej granicy.</t>
  </si>
  <si>
    <t>Vpvkg5a0JyA</t>
  </si>
  <si>
    <t>unS-3Z5TT7xLsd2-cr8gLgU2oHk</t>
  </si>
  <si>
    <t>UExjclJTRXdSTUVQVVpNV3M2dVdCZDJobGVXeVVJTFhJSy5ENDU4Q0M4RDExNzM1Mjcy</t>
  </si>
  <si>
    <t>2021-11-20T08:38:31Z</t>
  </si>
  <si>
    <t>Błaszczak: Problem na granicy może istnieć jeszcze przez miesiące</t>
  </si>
  <si>
    <t>„Musimy się przygotować na to, że ten problem będzie istniał przez miesiące” - powiedział o kryzysie migracyjnym na polsko-białoruskiej granicy minister obrony narodowej Mariusz Błaszczak, który był Gościem Krzysztofa Ziemca w RMF FM. „Nie ulega dla mnie żadnej wątpliwości, że tak będzie, że to jest scenariusz rozpisany na długi czas” – podkreślił szef MON.</t>
  </si>
  <si>
    <t>QhbnGTZG5ro</t>
  </si>
  <si>
    <t>2B-ewFS_JtpMG940TgY2jSi6U4U</t>
  </si>
  <si>
    <t>UExjclJTRXdSTUVQVVpNV3M2dVdCZDJobGVXeVVJTFhJSy4yMDhBMkNBNjRDMjQxQTg1</t>
  </si>
  <si>
    <t>2021-11-27T06:42:03Z</t>
  </si>
  <si>
    <t>Jacek Sasin Gościem Krzysztofa Ziemca w RMF FM</t>
  </si>
  <si>
    <t>Gościem Krzysztofa Ziemca w RMF FM będzie wicepremier i minister aktywów państwowych Jacek Sasin. Porozmawiamy z nim o tarczy antyinflacyjnej. Czy faktycznie ochroni portfele Polaków przed galopującymi cenami, czy tylko przesunie w czasie drenaż domowych budżetów? Zapytamy też o obostrzenia w związku z pandemią covid-19. Dlaczego nie postępujemy w tej kwestii jak pozostałe państwa Europy? Będziemy pytać też o spór wokół kopalni w Turowie. Czy jest szansa na porozumienie z Czechami jeszcze w tym roku?</t>
  </si>
  <si>
    <t>lEhwvqjUHjQ</t>
  </si>
  <si>
    <t>7JwD-uprBBEVTMM1cQ-qptUO1mQ</t>
  </si>
  <si>
    <t>UExjclJTRXdSTUVQVVpNV3M2dVdCZDJobGVXeVVJTFhJSy5GM0Q3M0MzMzY5NTJFNTdE</t>
  </si>
  <si>
    <t>2021-11-27T08:35:02Z</t>
  </si>
  <si>
    <t>Jacek Sasin: Jesteśmy ofiarami polityki klimatycznej Unii Europejskiej</t>
  </si>
  <si>
    <t>Inflacja? "To nie jest problem tylko nasz, perturbacje w innych krajach są znacznie większe" - mówi wicepremier Jacek Sasin, Gość Krzysztofa Ziemca w RMF FM. Chwali przy tym działania gabinetu Mateusza Morawieckiego: "Rząd nie był zaskoczony, szybko działał poprzez tarczę antyinflacyjną".</t>
  </si>
  <si>
    <t>KFXT8sgf_vc</t>
  </si>
  <si>
    <t>lqUwUwwA83NFNt80kjDjiIUX-5A</t>
  </si>
  <si>
    <t>UExjclJTRXdSTUVQVVpNV3M2dVdCZDJobGVXeVVJTFhJSy4zRjM0MkVCRTg0MkYyQTM0</t>
  </si>
  <si>
    <t>2021-12-04T06:04:12Z</t>
  </si>
  <si>
    <t>Marek Borowski będzie Gościem Krzysztofa Ziemca w RMF FM</t>
  </si>
  <si>
    <t>Sobotnim gościem Krzysztofa Ziemca będzie Marek Borowski, senator Koalicji Obywatelskiej i były minister finansów. Z naszym gościem porozmawiamy o tym, czy zaproponowana przez rząd tarcza antyinflacyjna pomoże Polakom przetrwać drożyznę, czy może przeciwnie, że jest to - jak mówią niektórzy ekonomiści - dolewanie oliwy do ognia.</t>
  </si>
  <si>
    <t>s_o8v3WRtBk</t>
  </si>
  <si>
    <t>bBXWPjIUrVW45b7afEUDEgiaxV0</t>
  </si>
  <si>
    <t>UExjclJTRXdSTUVQVVpNV3M2dVdCZDJobGVXeVVJTFhJSy45NzUwQkI1M0UxNThBMkU0</t>
  </si>
  <si>
    <t>2021-12-04T08:36:42Z</t>
  </si>
  <si>
    <t>Borowski: Widzimy próbę budowy międzynarodówki antyeuropejskiej</t>
  </si>
  <si>
    <t>"Premier może się spotykać, z kim chce. To, z kim się spotyka, kiedy się spotyka i po co się spotyka, podlega ocenie" - mówił w RMF FM Marek Borowski - senator Koalicji Obywatelskiej, odnosząc się do dzisiejszego spotkania liderów europejskich partii konserwatywnych i prawicowych w Warszawie. Mają w nim wziąć udział m.in. premier Węgier Viktor Orban i szefowa francuskiego Zjednoczenia Narodowego Marine Le Pen, która już w piątek opublikowała na Twitterze zdjęcie z premierem Mateuszem Morawieckim. "Widzimy próbę budowy międzynarodówki antyeuropejskiej. Mamy tam ludzi, którzy Unię Europejską traktują wyłącznie jako strefę Schengen i ci, którzy korzystają z pieniędzy unijnych - więcej dostają niż wpłacają - traktują ją jako bankomat. Tak traktuje właśnie Kaczyński UE. Nic więcej tam nie potrzeba. Żadna wspólnota wartości, żadna wspólnota demokratyczna tylko po prostu instytucja, która płaci" - ocenił gość Krzysztofa Ziemca w RMF FM.</t>
  </si>
  <si>
    <t>ZjlCF3Sm85g</t>
  </si>
  <si>
    <t>hc3_tX_fnpTE1mYjTXQLnip2-m0</t>
  </si>
  <si>
    <t>UExjclJTRXdSTUVQVVpNV3M2dVdCZDJobGVXeVVJTFhJSy5DNzE1RjZEMUZCMjA0RDBB</t>
  </si>
  <si>
    <t>2021-12-11T06:10:27Z</t>
  </si>
  <si>
    <t>Łukasz Hardt Gościem Krzysztofa Ziemca w RMF FM</t>
  </si>
  <si>
    <t>Przed zbliżającymi się świętami Bożego Narodzenia i wraz z końcem roku, Polacy coraz dotkliwiej odczuwają podwyżki cen i usług. Prezes NBP szacuje, że inflacja zejdzie do 2,5 proc. dopiero za dwa lata. Członka Rady Polityki Pieniężnej dr Łukasza Hardta pytamy, czy to oznacza, że przez kolejne miesiące czekają nas wzrosty cen? Czy należy prognozować, że w grudniu inflacja będzie jeszcze wyższa? Czy rządowa tarcza antyinflacyjna rzeczywiście złagodzi podwyżki?</t>
  </si>
  <si>
    <t>CBEVRhPzTrw</t>
  </si>
  <si>
    <t>4u0BHPKiG_zdjeJQDgmli_oN44w</t>
  </si>
  <si>
    <t>UExjclJTRXdSTUVQVVpNV3M2dVdCZDJobGVXeVVJTFhJSy43MTI1NDIwOTMwQjIxMzNG</t>
  </si>
  <si>
    <t>2021-12-11T08:15:45Z</t>
  </si>
  <si>
    <t>Członek Rady Polityki Pieniężnej dr Hardt: Nie grozi nam dwucyfrowa inflacja</t>
  </si>
  <si>
    <t>„Na pewno gdybyśmy na początku 2020 roku, powiedzmy w styczniu, bardzo łagodnie nawet podnieśli stopy, to dzisiaj bylibyśmy komunikacyjnie w łatwiejszej sytuacji, bo moglibyśmy wiarygodnie mówić: 'Jakie są normalne czasy, rośnie inflacja, to reagujemy'. Wtedy nie zareagowaliśmy, dlatego - między innymi - wydaje się, że ten cykl podwyżek, w pewnym sensie jest to jednak cykl, musieliśmy rozpocząć.</t>
  </si>
  <si>
    <t>HjGWY7cNeSc</t>
  </si>
  <si>
    <t>LHWGRrBMZeYDjCJDGPnw1hT-JuE</t>
  </si>
  <si>
    <t>UExjclJTRXdSTUVQVVpNV3M2dVdCZDJobGVXeVVJTFhJSy5DQ0MyQ0Y4Mzg0M0VGOEYw</t>
  </si>
  <si>
    <t>2021-12-18T06:48:27Z</t>
  </si>
  <si>
    <t>Bronisław Komorowski Gościem Krzysztofa Ziemca w RMF FM</t>
  </si>
  <si>
    <t>Większość sejmowa odrzuciła uchwałę Senatu o odrzuceniu noweli ustawy o radiofonii i telewizji. To oznacza, że tzw. „lex TVN” zostało przyjęte. Teraz będzie czekać na podpis Andrzeja Dudy. Byłego prezydenta zapytamy, co to może oznaczać dla wolności mediów w Polsce.</t>
  </si>
  <si>
    <t>Jv45kLHkLG0</t>
  </si>
  <si>
    <t>C6Qci4P0ESK8SZHjX9iP_eQLyw0</t>
  </si>
  <si>
    <t>UExjclJTRXdSTUVQVVpNV3M2dVdCZDJobGVXeVVJTFhJSy4yQUE2Q0JEMTk4NTM3RTZC</t>
  </si>
  <si>
    <t>2021-12-18T09:15:04Z</t>
  </si>
  <si>
    <t>Komorowski o dezercji polskiego żołnierza: Odpowiedzialność powinien wziąć szef MON</t>
  </si>
  <si>
    <t>"Za wszystkie takiego rodzaju sytuacje odpowiada osoba, która dowodzi całością. W tym wypadku moralną i polityczną odpowiedzialność powinien wziąć minister obrony narodowej. To on skierował tych żołnierzy na granicę, mimo że nie są przygotowani do zastępowania funkcjonariuszy straży granicznej czy policji" - tak o dezercji polskiego żołnierza na Białoruś mówił w RMF FM były prezydent Bronisław Komorowski. Gość Krzysztofa Ziemca przypomniał, że jak sam był ministrem obrony narodowej to miał "podobne sytuacje". "Ja też wtedy brałem za to odpowiedzialność publiczną" - powiedział.</t>
  </si>
  <si>
    <t>GY3hp_Qyk54</t>
  </si>
  <si>
    <t>Video</t>
  </si>
  <si>
    <t>Zapytamy o rozmowę z Premierem Morawieckim</t>
  </si>
  <si>
    <t>https://developers.google.com/youtube/v3/docs/videos/list</t>
  </si>
  <si>
    <t>https://youtube.googleapis.com/youtube/v3/videos?part=snippet&amp;id=_GRz_GsSb6w&amp;key=[YOUR_API_KEY]</t>
  </si>
  <si>
    <t>publishedAt</t>
  </si>
  <si>
    <t>2021-09-04T08:12:38Z</t>
  </si>
  <si>
    <t>channelId</t>
  </si>
  <si>
    <t>title</t>
  </si>
  <si>
    <t>description</t>
  </si>
  <si>
    <t>thumbnails</t>
  </si>
  <si>
    <t>channelTitle</t>
  </si>
  <si>
    <t>tags</t>
  </si>
  <si>
    <t>[List]</t>
  </si>
  <si>
    <t>categoryId</t>
  </si>
  <si>
    <t>25</t>
  </si>
  <si>
    <t>liveBroadcastContent</t>
  </si>
  <si>
    <t>localized</t>
  </si>
  <si>
    <t>defaultAudioLanguage</t>
  </si>
  <si>
    <t>pl</t>
  </si>
  <si>
    <t>https://developers.google.com/youtube/v3/guides/implementation/pagination</t>
  </si>
  <si>
    <t>https://youtube.googleapis.com/youtube/v3/videos?part=statistics&amp;id=_GRz_GsSb6w&amp;key=[YOUR_API_KEY]</t>
  </si>
  <si>
    <t>150864</t>
  </si>
  <si>
    <t>likeCount</t>
  </si>
  <si>
    <t>1330</t>
  </si>
  <si>
    <t>favoriteCount</t>
  </si>
  <si>
    <t>0</t>
  </si>
  <si>
    <t>https://www.youtube.com/watch?v=ArLcBEfKOdw</t>
  </si>
  <si>
    <t>Statystyki kanału</t>
  </si>
  <si>
    <t>Zapytanie buduje się analogicznie. Należy podać filmy rozdzielane przecinkami.</t>
  </si>
  <si>
    <t>Kilka filmów</t>
  </si>
  <si>
    <t xml:space="preserve">RMF nie pozwala na komentowanie. </t>
  </si>
  <si>
    <t xml:space="preserve">Spróbujemy na innym kanale: </t>
  </si>
  <si>
    <t>https://youtube.googleapis.com/youtube/v3/commentThreads?part=snippet&amp;videoId=ArLcBEfKOdw&amp;key=[YOUR_API_KEY]</t>
  </si>
  <si>
    <t>https://developers.google.com/youtube/v3/docs/commentThreads/</t>
  </si>
  <si>
    <t>Pobieranie komentarzy</t>
  </si>
  <si>
    <t>Column1.snippet.videoId</t>
  </si>
  <si>
    <t>Column1.snippet.topLevelComment.id</t>
  </si>
  <si>
    <t>Column1.snippet.topLevelComment.snippet.videoId</t>
  </si>
  <si>
    <t>Column1.snippet.topLevelComment.snippet.textDisplay</t>
  </si>
  <si>
    <t>Column1.snippet.topLevelComment.snippet.textOriginal</t>
  </si>
  <si>
    <t>Column1.snippet.topLevelComment.snippet.authorDisplayName</t>
  </si>
  <si>
    <t>Column1.snippet.topLevelComment.snippet.authorProfileImageUrl</t>
  </si>
  <si>
    <t>Column1.snippet.topLevelComment.snippet.authorChannelUrl</t>
  </si>
  <si>
    <t>Column1.snippet.topLevelComment.snippet.authorChannelId</t>
  </si>
  <si>
    <t>Column1.snippet.topLevelComment.snippet.canRate</t>
  </si>
  <si>
    <t>Column1.snippet.topLevelComment.snippet.viewerRating</t>
  </si>
  <si>
    <t>Column1.snippet.topLevelComment.snippet.likeCount</t>
  </si>
  <si>
    <t>Column1.snippet.topLevelComment.snippet.publishedAt</t>
  </si>
  <si>
    <t>Column1.snippet.topLevelComment.snippet.updatedAt</t>
  </si>
  <si>
    <t>Column1.snippet.canReply</t>
  </si>
  <si>
    <t>Column1.snippet.totalReplyCount</t>
  </si>
  <si>
    <t>Column1.snippet.isPublic</t>
  </si>
  <si>
    <t>youtube#commentThread</t>
  </si>
  <si>
    <t>a0z3qNE9EyJzSWZLjYYc7VgiqeE</t>
  </si>
  <si>
    <t>UgzkTEbHXEOG-shv5Ch4AaABAg</t>
  </si>
  <si>
    <t>ArLcBEfKOdw</t>
  </si>
  <si>
    <t>Było ich trzech &lt;br&gt;Dwóch kaczakow i glapi&lt;br&gt;Zostało ich dwóch. &lt;br&gt;Może warto by ich wsadzić do samolotu?</t>
  </si>
  <si>
    <t>Było ich trzech 
Dwóch kaczakow i glapi
Zostało ich dwóch. 
Może warto by ich wsadzić do samolotu?</t>
  </si>
  <si>
    <t>Krzysiek B.</t>
  </si>
  <si>
    <t>https://yt3.ggpht.com/ytc/AKedOLRJj1LJf_zhu_t8dYMEUn1CrDADceab5bvTjqVejA=s48-c-k-c0x00ffffff-no-rj</t>
  </si>
  <si>
    <t>http://www.youtube.com/channel/UCTYimpnVpyjs_-KS8wfncVw</t>
  </si>
  <si>
    <t>2022-04-30T17:03:57Z</t>
  </si>
  <si>
    <t>pyQjvXhtsjjafuwnnchIfHfK-Ug</t>
  </si>
  <si>
    <t>Ugw_qHyA5U_-JJFJnD14AaABAg</t>
  </si>
  <si>
    <t>Złodziej razem z drugim złodziejem premierem okrada mnie z oszczednosci.&lt;br&gt;oni wiedzą co robią okradają nas a potem szastają naszymi pieniędzmi na prawo i lewo.</t>
  </si>
  <si>
    <t>Złodziej razem z drugim złodziejem premierem okrada mnie z oszczednosci.
oni wiedzą co robią okradają nas a potem szastają naszymi pieniędzmi na prawo i lewo.</t>
  </si>
  <si>
    <t>wr wr</t>
  </si>
  <si>
    <t>https://yt3.ggpht.com/ytc/AKedOLTneC3Ya8Xt2riyzqDPiONG2ombAkMBbOMrVw=s48-c-k-c0x00ffffff-no-rj</t>
  </si>
  <si>
    <t>http://www.youtube.com/channel/UCoGXelu2_qjR9UtJxaeKiNw</t>
  </si>
  <si>
    <t>2022-04-30T16:08:54Z</t>
  </si>
  <si>
    <t>vyNNgkefXtW1NYuf3Y0j128lRlM</t>
  </si>
  <si>
    <t>UgyhGROyC2IhQuFlnVF4AaABAg</t>
  </si>
  <si>
    <t>Ostatnio powiedział że nie ma dzieci i nie musi odkładać kasy. Więc sądzę że te grube pliki idą na bok na kolejną kampanię</t>
  </si>
  <si>
    <t>Yrek Yrek</t>
  </si>
  <si>
    <t>https://yt3.ggpht.com/ytc/AKedOLS3_ugcqCWTwvRYSQ939U7GNQLgsM7e9TGLvA=s48-c-k-c0x00ffffff-no-rj</t>
  </si>
  <si>
    <t>http://www.youtube.com/channel/UCD8ZVRrOzUvo44oJaE5-u2g</t>
  </si>
  <si>
    <t>2022-04-22T06:22:17Z</t>
  </si>
  <si>
    <t>W_0E7wQ-KQS0rcdnFa1jV0kzQk8</t>
  </si>
  <si>
    <t>UgyiXR8xx2wanG09w5N4AaABAg</t>
  </si>
  <si>
    <t>I co panie Glapinski warto było dodrukować kasy dla dalszego rozdawania.A teraz dając se nagrodę zrzucasz odpowiedzialność na kredytobiorców dziadu jeb..aby.</t>
  </si>
  <si>
    <t>Arek Piniusz</t>
  </si>
  <si>
    <t>https://yt3.ggpht.com/ytc/AKedOLRskaanx1tNOC8oS8nNPXRtBzwWtvsMRds1WQ=s48-c-k-c0x00ffffff-no-rj</t>
  </si>
  <si>
    <t>http://www.youtube.com/channel/UCJQrpvLcZZAdvEPPkx_rvSQ</t>
  </si>
  <si>
    <t>2022-04-21T13:11:00Z</t>
  </si>
  <si>
    <t>_ehb7Y7_jGSWwSzcgwITkqk1y1E</t>
  </si>
  <si>
    <t>UgwzRHdkyL2P6jITGWZ4AaABAg</t>
  </si>
  <si>
    <t>W zeszłym roku zarobił milion złotych. Niektórzy ludzie nie zarabiają takich pieniędzy w 20 lat</t>
  </si>
  <si>
    <t>2022-04-20T05:40:05Z</t>
  </si>
  <si>
    <t>QFXFB_ErcM7ZSdS0osRbjEYUl20</t>
  </si>
  <si>
    <t>Ugzf47nkY7zbCwLM0pR4AaABAg</t>
  </si>
  <si>
    <t>Wypowiedzi glapy zakrawają na demencję</t>
  </si>
  <si>
    <t>2022-04-20T05:37:35Z</t>
  </si>
  <si>
    <t>QNawfIeFcBwfrSajofpQ4eSFo0o</t>
  </si>
  <si>
    <t>UgyWVxNFkCdDPOAUYyh4AaABAg</t>
  </si>
  <si>
    <t>on nic nie wie, dobrze, że wie jak się nazywa, jeśli wybiorą go powtórnie złotówka straci</t>
  </si>
  <si>
    <t>Piotr</t>
  </si>
  <si>
    <t>https://yt3.ggpht.com/ytc/AKedOLSkwW0SA4Bl-snFDKQsmNg6YgcEMBOBYvqXRQ=s48-c-k-c0x00ffffff-no-rj</t>
  </si>
  <si>
    <t>http://www.youtube.com/channel/UCqmt1tqES4E2q7sJZn7i9bg</t>
  </si>
  <si>
    <t>2022-04-19T18:42:30Z</t>
  </si>
  <si>
    <t>aZvplM_Xc-SrcdQ566MYMae5gt0</t>
  </si>
  <si>
    <t>UgziOLc68yItNuBn0KR4AaABAg</t>
  </si>
  <si>
    <t>Kawał hu... ludzia  podwyższa kredyty a sobie 600 tysi premi</t>
  </si>
  <si>
    <t>Macjan Pex</t>
  </si>
  <si>
    <t>https://yt3.ggpht.com/ytc/AKedOLQF1rhDo4UjmT006vnDQF0oEaGk4CsaBrrWyg=s48-c-k-c0x00ffffff-no-rj</t>
  </si>
  <si>
    <t>http://www.youtube.com/channel/UCUQygCAvOE4e1fUrWytoYQA</t>
  </si>
  <si>
    <t>2022-04-19T15:41:01Z</t>
  </si>
  <si>
    <t>2QKxNujx8fqusd0NjuBRrodFp9E</t>
  </si>
  <si>
    <t>UgxbTu3SFai1Jab6mUp4AaABAg</t>
  </si>
  <si>
    <t>glapiński jesteś bandyta  i tak należy ciebie traktować,bez sądu kula w łeb</t>
  </si>
  <si>
    <t>Jacek</t>
  </si>
  <si>
    <t>https://yt3.ggpht.com/ytc/AKedOLRwyxXlxWVvmFJKo_9jyaHbQz-QSEWip51EZQ=s48-c-k-c0x00ffffff-no-rj</t>
  </si>
  <si>
    <t>http://www.youtube.com/channel/UC8foW73cquqQIYI-uEpz4mQ</t>
  </si>
  <si>
    <t>2022-04-13T20:46:34Z</t>
  </si>
  <si>
    <t>duCV2F8kN-hW1P1qaebLa9UNDhw</t>
  </si>
  <si>
    <t>UgzC5lGFY7yuNB7mjcB4AaABAg</t>
  </si>
  <si>
    <t>Pytanie czy pensje muszę wybierać w ratach 1000 zł na dobę w jakim kraju tak jest ?Że muszę zapracowane pieniądze czekać</t>
  </si>
  <si>
    <t>Jan Jan</t>
  </si>
  <si>
    <t>https://yt3.ggpht.com/ytc/AKedOLQEwqDhfrUGjyZ2BTWUNBTNBDOJV-G7EkDpPA=s48-c-k-c0x00ffffff-no-rj</t>
  </si>
  <si>
    <t>http://www.youtube.com/channel/UC8Gj-PRo3WV_sw6DlTvuHkQ</t>
  </si>
  <si>
    <t>2022-04-13T15:20:29Z</t>
  </si>
  <si>
    <t>E-PpGP46fx0e4QuMuLrg3YBKyIA</t>
  </si>
  <si>
    <t>Ugybi4P6NBmLe1q_yBx4AaABAg</t>
  </si>
  <si>
    <t>To jest prawdziwy Jastrząb hahaha😂😂😂</t>
  </si>
  <si>
    <t>Pawel Schubert</t>
  </si>
  <si>
    <t>https://yt3.ggpht.com/ytc/AKedOLQclKVTjEfNzKzbgOhwnJWU6DFpPqST8KvTUQcClQ=s48-c-k-c0x00ffffff-no-rj</t>
  </si>
  <si>
    <t>http://www.youtube.com/channel/UCG6xSMl7Ayno04NkenOYyCg</t>
  </si>
  <si>
    <t>2022-04-11T20:49:04Z</t>
  </si>
  <si>
    <t>oOcSk6i6wbF7shXgjizyOnKCeog</t>
  </si>
  <si>
    <t>UgxJ3uJ2z_mpRWQH1Dl4AaABAg</t>
  </si>
  <si>
    <t>KABARET - szkoda slow</t>
  </si>
  <si>
    <t>mrpsokolowski</t>
  </si>
  <si>
    <t>https://yt3.ggpht.com/ytc/AKedOLSJahZdvR1CmqOQim6h8ncDmXx7nfy-sF8m7w=s48-c-k-c0x00ffffff-no-rj</t>
  </si>
  <si>
    <t>http://www.youtube.com/channel/UCuLelTnmDWfFQTXoNzvFtzQ</t>
  </si>
  <si>
    <t>2022-04-11T10:42:32Z</t>
  </si>
  <si>
    <t>ldQxG__dE5nomnhhNc_tcWpjEzk</t>
  </si>
  <si>
    <t>UgzwmU9u1oaWa4N64WV4AaABAg</t>
  </si>
  <si>
    <t>Świetny stand up. Na kolejny spektakl kupuję bilet:-)</t>
  </si>
  <si>
    <t>No Name</t>
  </si>
  <si>
    <t>https://yt3.ggpht.com/ytc/AKedOLQ_XNVXwT7z-gtumhSqZk2Ge9YvvUjTLnkTqQ=s48-c-k-c0x00ffffff-no-rj</t>
  </si>
  <si>
    <t>http://www.youtube.com/channel/UCnk7I5UYeSi3ZvT1Lfh14vw</t>
  </si>
  <si>
    <t>2022-04-09T18:33:51Z</t>
  </si>
  <si>
    <t>05esN79WrWbit0-vG1le-M2xCRw</t>
  </si>
  <si>
    <t>UgwBuW1b0XAACDtWmaV4AaABAg</t>
  </si>
  <si>
    <t>Pleciesz bzdury jak zawsze ,jak bym pracowal tak samo to by mnie zwolnili z pracy ,a gdzie twoje dwie platne ogierki ?</t>
  </si>
  <si>
    <t>Dosyc Instalacji</t>
  </si>
  <si>
    <t>https://yt3.ggpht.com/ytc/AKedOLTaC0MVdWDSG7oSHqjcMhuWNontSKdK_mLqvw=s48-c-k-c0x00ffffff-no-rj</t>
  </si>
  <si>
    <t>http://www.youtube.com/channel/UCn9B12CpOL78nFf4WJG1XTA</t>
  </si>
  <si>
    <t>2022-04-09T13:00:55Z</t>
  </si>
  <si>
    <t>kO1hqNb1cJG8_dRCWvlztqrSROQ</t>
  </si>
  <si>
    <t>UgxA4Nf93cd0OULZz_t4AaABAg</t>
  </si>
  <si>
    <t>Nagrody w marcu ,maju ,sierpniu, listopadzie 2021- 152 tys. zł, 101 tys. zł, 165,6 tys. zł oraz 189 tys. zł przyznane prawdopodobnie za okradanie Polaków ,czyli narodu żyjącego nad Wisłą I Odrą.&lt;br&gt;Wybitne zdolności Prezesa NBP w mijaniu się z rzeczywistością -aż strach pomyśleć ile dodatkowo będą nas kosztować w 2022</t>
  </si>
  <si>
    <t>Nagrody w marcu ,maju ,sierpniu, listopadzie 2021- 152 tys. zł, 101 tys. zł, 165,6 tys. zł oraz 189 tys. zł przyznane prawdopodobnie za okradanie Polaków ,czyli narodu żyjącego nad Wisłą I Odrą.
Wybitne zdolności Prezesa NBP w mijaniu się z rzeczywistością -aż strach pomyśleć ile dodatkowo będą nas kosztować w 2022</t>
  </si>
  <si>
    <t>Wojciech Kołcz</t>
  </si>
  <si>
    <t>https://yt3.ggpht.com/ytc/AKedOLRH2as73T6BFkIPJJGsiS1zCsXY8dNhsXLK5g=s48-c-k-c0x00ffffff-no-rj</t>
  </si>
  <si>
    <t>http://www.youtube.com/channel/UCVaDUxgD8DoCRw9D3auOudA</t>
  </si>
  <si>
    <t>2022-04-09T10:30:10Z</t>
  </si>
  <si>
    <t>NOhJmbM9zDvHmnV3649SDcNBYf8</t>
  </si>
  <si>
    <t>Ugwt3RH-G79xxmSdW3N4AaABAg</t>
  </si>
  <si>
    <t>ten człowiek to jedna wielka kompromitacja...Doprowadził do takiej inflacji działaniami przez ostatnie lata, a teraz pitoli że to wina putina... żałosny człeczek</t>
  </si>
  <si>
    <t>Piotr Zimmer</t>
  </si>
  <si>
    <t>https://yt3.ggpht.com/ytc/AKedOLSXLtbORJujy_vtMnuW-kAedcofsHlCpAHulA=s48-c-k-c0x00ffffff-no-rj</t>
  </si>
  <si>
    <t>http://www.youtube.com/channel/UCYDStCRp4WcbeptBZ9Su9mg</t>
  </si>
  <si>
    <t>2022-04-09T08:55:44Z</t>
  </si>
  <si>
    <t>0-CfTf_U3wfkGupoic1DwZpAf2Q</t>
  </si>
  <si>
    <t>Ugw4gLg_Wbd7M7VfI7Z4AaABAg</t>
  </si>
  <si>
    <t>Maliniak jedyne co umocnił to swoje wynagrodzenie nie ma co dziada słuchać</t>
  </si>
  <si>
    <t>Tomasz Chomentowski</t>
  </si>
  <si>
    <t>https://yt3.ggpht.com/ytc/AKedOLQbjelOXwfCr-eL789QYtTk63DP3o1BntvZTA=s48-c-k-c0x00ffffff-no-rj</t>
  </si>
  <si>
    <t>http://www.youtube.com/channel/UCGCH4_sS258mT7DL1xJrK2w</t>
  </si>
  <si>
    <t>2022-04-09T08:06:53Z</t>
  </si>
  <si>
    <t>utvPHc5x6OtZyHA-DuNbruPhKEs</t>
  </si>
  <si>
    <t>UgyB6U0hbe2cV2KdREJ4AaABAg</t>
  </si>
  <si>
    <t>Siwy bajerant 2 :)</t>
  </si>
  <si>
    <t>Michał Kuzyk</t>
  </si>
  <si>
    <t>https://yt3.ggpht.com/ytc/AKedOLRgfAJxPtm0s-klKZCCQ04tnHSBagyeC-SXIsPKzA=s48-c-k-c0x00ffffff-no-rj</t>
  </si>
  <si>
    <t>http://www.youtube.com/channel/UCu-K_5px0CQbCXW_qOqKOkA</t>
  </si>
  <si>
    <t>2022-04-08T20:51:25Z</t>
  </si>
  <si>
    <t>QfqkJAyOLfm873RuAhZLK2q8sGo</t>
  </si>
  <si>
    <t>Ugz6LchxkFGAiHx0dnl4AaABAg</t>
  </si>
  <si>
    <t>Glapiński, przez swoje zaniedbania bezpośrednio przyczynił się do tak wysokiej inflacji. O tych głupotach które wygaduje nie wspomnę</t>
  </si>
  <si>
    <t>Royal261</t>
  </si>
  <si>
    <t>https://yt3.ggpht.com/ytc/AKedOLQ9wu2Psl3LtS9RGtAlcm20H1TkmCj2KIUl1g=s48-c-k-c0x00ffffff-no-rj</t>
  </si>
  <si>
    <t>http://www.youtube.com/channel/UC4wKVYL-VRcuinpU4CrvHbw</t>
  </si>
  <si>
    <t>2022-04-08T17:42:52Z</t>
  </si>
  <si>
    <t>LM1OnhwotNnmNmp4KDy1a2l4RC8</t>
  </si>
  <si>
    <t>Ugy1z4bUkx6c3PW1Wbl4AaABAg</t>
  </si>
  <si>
    <t>Gdyby nie wojna inflacja byłaby 6 procent ? W grudniu nie było nic o wojnie a inflacja była 9 procent ?  Chyba że Wy już wiedzieliście?</t>
  </si>
  <si>
    <t>Paweł P</t>
  </si>
  <si>
    <t>https://yt3.ggpht.com/ytc/AKedOLRaz7bgdyIUpcRNMx5Y6-pq0uFipJxauWJYQX4efw=s48-c-k-c0x00ffffff-no-rj</t>
  </si>
  <si>
    <t>http://www.youtube.com/channel/UC8BQt9a5dZ3keyTK8rQo6qw</t>
  </si>
  <si>
    <t>2022-04-08T05:16:03Z</t>
  </si>
  <si>
    <t>Poszukajmy filmów Rammstein - będzie ich więcej niż limit pobrania (50)</t>
  </si>
  <si>
    <t>https://youtube.googleapis.com/youtube/v3/search?part=snippet&amp;q=Rammstein&amp;key=[YOUR_API_KEY]</t>
  </si>
  <si>
    <t>https://youtube.googleapis.com/youtube/v3/search?part=snippet&amp;q=Rammstein&amp;key=AIzaSyAFImvJSSo07Iwc4AeBAtCmuKX8iw7CfSM</t>
  </si>
  <si>
    <t>kind</t>
  </si>
  <si>
    <t>youtube#searchListResponse</t>
  </si>
  <si>
    <t>etag</t>
  </si>
  <si>
    <t>nextPageToken</t>
  </si>
  <si>
    <t>CAUQAA</t>
  </si>
  <si>
    <t>regionCode</t>
  </si>
  <si>
    <t>PL</t>
  </si>
  <si>
    <t>pageInfo</t>
  </si>
  <si>
    <t>items</t>
  </si>
  <si>
    <t>Column1.id.videoId</t>
  </si>
  <si>
    <t>Qp1c5gPFXVej95opQrHPLsdC-Vo</t>
  </si>
  <si>
    <t>ONj9cvHCado</t>
  </si>
  <si>
    <t>2022-04-29T15:00:14Z</t>
  </si>
  <si>
    <t>UCYp3rk70ACGXQ4gFAiMr1SQ</t>
  </si>
  <si>
    <t>Rammstein - Angst (Official Video)</t>
  </si>
  <si>
    <t>The new album: https://rammstein.lnk.to/Zeit ANGST CHRISTOPH SCHNEIDER TILL LINDEMANN PAUL LANDERS RICHARD Z.</t>
  </si>
  <si>
    <t>Rammstein Official</t>
  </si>
  <si>
    <t>HOIR5hXtu3sfZ7NmnF1WW7M48p0</t>
  </si>
  <si>
    <t>EbHGS_bVkXY</t>
  </si>
  <si>
    <t>2022-03-10T16:00:10Z</t>
  </si>
  <si>
    <t>Rammstein - Zeit (Official Video)</t>
  </si>
  <si>
    <t>Director: Robert Gwisdek Production Company: Kreisfilm GbR Album: https://rammstein.lnk.to/Zeit Single: ...</t>
  </si>
  <si>
    <t>23FE_27sUlndza_G5IPciSJB8qQ</t>
  </si>
  <si>
    <t>UPd76O6M4do</t>
  </si>
  <si>
    <t>2021-04-12T10:10:25Z</t>
  </si>
  <si>
    <t>UCmlncUdZ6ziuzo9qauimyWA</t>
  </si>
  <si>
    <t>R A M M S T E I N Greatest Hits Full Album - Best Songs Of R A M M S T E I N Playlist 2021</t>
  </si>
  <si>
    <t>R A M M S T E I N Greatest Hits Full Album - Best Songs Of R A M M S T E I N Playlist 2021.</t>
  </si>
  <si>
    <t>Parker Michael</t>
  </si>
  <si>
    <t>afCqXl45aZ37QZj2cGPfpYZRFgs</t>
  </si>
  <si>
    <t>hBTNyJ33LWI</t>
  </si>
  <si>
    <t>2022-04-07T16:00:14Z</t>
  </si>
  <si>
    <t>Rammstein - Zick Zack (Official Video)</t>
  </si>
  <si>
    <t>Stream order "Zick Zack": https://rammstein.lnk.to/ZickZack The new album: https://rammstein.lnk.to/Zeit Rammstein are Christoph ...</t>
  </si>
  <si>
    <t>v7d4l3fnRcpaCevWBMXeXFpvtm4</t>
  </si>
  <si>
    <t>NeQM1c-XCDc</t>
  </si>
  <si>
    <t>2019-03-28T16:58:13Z</t>
  </si>
  <si>
    <t>Rammstein - Deutschland (Official Video)</t>
  </si>
  <si>
    <t>New Album: https://rammstein.lnk.to/Zeit Video Director: Specter Berlin Production: Mmaattcchh Berlin Score: „The Beast” written ...</t>
  </si>
  <si>
    <t>zOcgc314TU-L05uQrowF99JVsRA</t>
  </si>
  <si>
    <t>Pierwsze zapytanie</t>
  </si>
  <si>
    <t>Kolejne zapytania</t>
  </si>
  <si>
    <t>PaginationToken</t>
  </si>
  <si>
    <t>https://youtube.googleapis.com/youtube/v3/search?part=snippet&amp;q=Rammstein&amp;pageToken=CAUQAA&amp;key=AIzaSyAFImvJSSo07Iwc4AeBAtCmuKX8iw7CfSM</t>
  </si>
  <si>
    <t>_czglw5PP6SiR8ZzvoeKKr0qPV0</t>
  </si>
  <si>
    <t>CAoQAA</t>
  </si>
  <si>
    <t>prevPageToken</t>
  </si>
  <si>
    <t>CAUQAQ</t>
  </si>
  <si>
    <t>nZIqDZqJPxL3555zgzQlyYscpEA</t>
  </si>
  <si>
    <t>2015-07-31T14:37:12Z</t>
  </si>
  <si>
    <t>Rammstein - Du Hast (Official Video)</t>
  </si>
  <si>
    <t>New Album: https://rammstein.lnk.to/Zeit ▻ Website: http://www.rammstein.com ▻ Shop: http://shop.rammstein.de Location: Berlin ...</t>
  </si>
  <si>
    <t>u_izkAN0ks0Z9nvKWkk6xb2OL4A</t>
  </si>
  <si>
    <t>2019-05-28T16:57:48Z</t>
  </si>
  <si>
    <t>Rammstein - Ausländer (Official Video)</t>
  </si>
  <si>
    <t>New Album: https://rammstein.lnk.to/Zeit Director: Jörn Heitmann Production Company: Katapult Rammstein are one of rock's most ...</t>
  </si>
  <si>
    <t>j0Be2Uks0RiNT_pX62S0MkqH-UY</t>
  </si>
  <si>
    <t>2015-07-31T14:36:42Z</t>
  </si>
  <si>
    <t>Rammstein - Sonne (Official Video)</t>
  </si>
  <si>
    <t>New Album: https://rammstein.lnk.to/Zeit ▻ Website: http://www.rammstein.com ▻ Shop: http://shop.rammstein.de Premiere: ...</t>
  </si>
  <si>
    <t>vFbX9VmZ5cDfSeUVeOlquwpHgps</t>
  </si>
  <si>
    <t>2015-07-31T14:37:13Z</t>
  </si>
  <si>
    <t>Rammstein - Engel (Official Video)</t>
  </si>
  <si>
    <t>New Album: https://rammstein.lnk.to/Zeit ▻ Website: http://www.rammstein.com ▻ Shop: http://shop.rammstein.de Premiere: April ...</t>
  </si>
  <si>
    <t>v1VluuzxMhwpj7LCkJEbdfkJpOw</t>
  </si>
  <si>
    <t>2015-06-24T15:33:44Z</t>
  </si>
  <si>
    <t>The Official YouTube Channel #Rammstein Website: https://www.rammstein.de/de/ History: https://www.rammstein.de/de/history/ ...</t>
  </si>
  <si>
    <t>upcoming</t>
  </si>
  <si>
    <t>CAoQAQ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</si>
</sst>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2" fillId="0" borderId="0" xfId="1"/>
    <xf numFmtId="0" fontId="1" fillId="0" borderId="0" xfId="0" applyFont="1"/>
    <xf numFmtId="4" fontId="0" fillId="0" borderId="0" xfId="0" applyNumberFormat="1"/>
    <xf numFmtId="0" fontId="1" fillId="2" borderId="1" xfId="0" applyFont="1" applyFill="1" applyBorder="1" applyAlignment="1">
      <alignment horizontal="center"/>
    </xf>
  </cellXfs>
  <cellStyles count="2">
    <cellStyle name="Hyperlink" xfId="1" builtinId="8"/>
    <cellStyle name="Normal" xfId="0" builtinId="0"/>
  </cellStyles>
  <dxfs count="4">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vertical/>
        <horizontal/>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180516-4EEB-4BA9-9728-370F95E6C165}" autoFormatId="16" applyNumberFormats="0" applyBorderFormats="0" applyFontFormats="0" applyPatternFormats="0" applyAlignmentFormats="0" applyWidthHeightFormats="0">
  <queryTableRefresh nextId="13">
    <queryTableFields count="12">
      <queryTableField id="1" name="Column1.kind" tableColumnId="1"/>
      <queryTableField id="2" name="Column1.etag" tableColumnId="2"/>
      <queryTableField id="3" name="Column1.id.kind" tableColumnId="3"/>
      <queryTableField id="4" name="Column1.id.channelId" tableColumnId="4"/>
      <queryTableField id="5" name="Column1.snippet.publishedAt" tableColumnId="5"/>
      <queryTableField id="6" name="Column1.snippet.channelId" tableColumnId="6"/>
      <queryTableField id="7" name="Column1.snippet.title" tableColumnId="7"/>
      <queryTableField id="8" name="Column1.snippet.description" tableColumnId="8"/>
      <queryTableField id="9" name="Column1.snippet.thumbnails" tableColumnId="9"/>
      <queryTableField id="10" name="Column1.snippet.channelTitle" tableColumnId="10"/>
      <queryTableField id="11" name="Column1.snippet.liveBroadcastContent" tableColumnId="11"/>
      <queryTableField id="12" name="Column1.snippet.publishTim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1C62F4BD-F81E-4A1D-85C6-EDDC80C52BDC}" autoFormatId="16" applyNumberFormats="0" applyBorderFormats="0" applyFontFormats="0" applyPatternFormats="0" applyAlignmentFormats="0" applyWidthHeightFormats="0">
  <queryTableRefresh nextId="3">
    <queryTableFields count="2">
      <queryTableField id="1" name="Name" tableColumnId="1"/>
      <queryTableField id="2" name="Valu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DC221469-2644-4764-9A32-B7DC7352C077}" autoFormatId="16" applyNumberFormats="0" applyBorderFormats="0" applyFontFormats="0" applyPatternFormats="0" applyAlignmentFormats="0" applyWidthHeightFormats="0">
  <queryTableRefresh nextId="11">
    <queryTableFields count="10">
      <queryTableField id="1" name="Column1.kind" tableColumnId="1"/>
      <queryTableField id="2" name="Column1.etag" tableColumnId="2"/>
      <queryTableField id="3" name="Column1.id" tableColumnId="3"/>
      <queryTableField id="4" name="Column1.snippet.publishedAt" tableColumnId="4"/>
      <queryTableField id="5" name="Column1.snippet.channelId" tableColumnId="5"/>
      <queryTableField id="6" name="Column1.snippet.title" tableColumnId="6"/>
      <queryTableField id="7" name="Column1.snippet.description" tableColumnId="7"/>
      <queryTableField id="8" name="Column1.snippet.thumbnails" tableColumnId="8"/>
      <queryTableField id="9" name="Column1.snippet.channelTitle" tableColumnId="9"/>
      <queryTableField id="10" name="Column1.snippet.localized"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A59C6FDC-33D9-4BF1-8672-D162E4EFFE71}" autoFormatId="16" applyNumberFormats="0" applyBorderFormats="0" applyFontFormats="0" applyPatternFormats="0" applyAlignmentFormats="0" applyWidthHeightFormats="0">
  <queryTableRefresh nextId="11">
    <queryTableFields count="10">
      <queryTableField id="1" name="Column1.kind" tableColumnId="1"/>
      <queryTableField id="2" name="Column1.etag" tableColumnId="2"/>
      <queryTableField id="3" name="Column1.id" tableColumnId="3"/>
      <queryTableField id="4" name="Column1.snippet.publishedAt" tableColumnId="4"/>
      <queryTableField id="5" name="Column1.snippet.title" tableColumnId="5"/>
      <queryTableField id="6" name="Column1.snippet.description" tableColumnId="6"/>
      <queryTableField id="7" name="Column1.snippet.playlistId" tableColumnId="7"/>
      <queryTableField id="8" name="Column1.snippet.position" tableColumnId="8"/>
      <queryTableField id="9" name="Column1.snippet.resourceId.kind" tableColumnId="9"/>
      <queryTableField id="10" name="Column1.snippet.resourceId.videoId"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3" xr16:uid="{9B5BE16D-8383-46D9-BC13-6A9BC22C7468}" autoFormatId="16" applyNumberFormats="0" applyBorderFormats="0" applyFontFormats="0" applyPatternFormats="0" applyAlignmentFormats="0" applyWidthHeightFormats="0">
  <queryTableRefresh nextId="3">
    <queryTableFields count="2">
      <queryTableField id="1" name="Name" tableColumnId="1"/>
      <queryTableField id="2" name="Valu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1" xr16:uid="{9BD46A76-AA5C-4B44-B759-902A082E37CE}" autoFormatId="16" applyNumberFormats="0" applyBorderFormats="0" applyFontFormats="0" applyPatternFormats="0" applyAlignmentFormats="0" applyWidthHeightFormats="0">
  <queryTableRefresh nextId="3">
    <queryTableFields count="2">
      <queryTableField id="1" name="Name" tableColumnId="1"/>
      <queryTableField id="2" name="Value"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3" xr16:uid="{E77843FF-E6A3-4309-A183-1EA41A3468CF}" autoFormatId="16" applyNumberFormats="0" applyBorderFormats="0" applyFontFormats="0" applyPatternFormats="0" applyAlignmentFormats="0" applyWidthHeightFormats="0">
  <queryTableRefresh nextId="21">
    <queryTableFields count="20">
      <queryTableField id="1" name="Column1.kind" tableColumnId="1"/>
      <queryTableField id="2" name="Column1.etag" tableColumnId="2"/>
      <queryTableField id="3" name="Column1.id" tableColumnId="3"/>
      <queryTableField id="4" name="Column1.snippet.videoId" tableColumnId="4"/>
      <queryTableField id="5" name="Column1.snippet.topLevelComment.id" tableColumnId="5"/>
      <queryTableField id="6" name="Column1.snippet.topLevelComment.snippet.videoId" tableColumnId="6"/>
      <queryTableField id="7" name="Column1.snippet.topLevelComment.snippet.textDisplay" tableColumnId="7"/>
      <queryTableField id="8" name="Column1.snippet.topLevelComment.snippet.textOriginal" tableColumnId="8"/>
      <queryTableField id="9" name="Column1.snippet.topLevelComment.snippet.authorDisplayName" tableColumnId="9"/>
      <queryTableField id="10" name="Column1.snippet.topLevelComment.snippet.authorProfileImageUrl" tableColumnId="10"/>
      <queryTableField id="11" name="Column1.snippet.topLevelComment.snippet.authorChannelUrl" tableColumnId="11"/>
      <queryTableField id="12" name="Column1.snippet.topLevelComment.snippet.authorChannelId" tableColumnId="12"/>
      <queryTableField id="13" name="Column1.snippet.topLevelComment.snippet.canRate" tableColumnId="13"/>
      <queryTableField id="14" name="Column1.snippet.topLevelComment.snippet.viewerRating" tableColumnId="14"/>
      <queryTableField id="15" name="Column1.snippet.topLevelComment.snippet.likeCount" tableColumnId="15"/>
      <queryTableField id="16" name="Column1.snippet.topLevelComment.snippet.publishedAt" tableColumnId="16"/>
      <queryTableField id="17" name="Column1.snippet.topLevelComment.snippet.updatedAt" tableColumnId="17"/>
      <queryTableField id="18" name="Column1.snippet.canReply" tableColumnId="18"/>
      <queryTableField id="19" name="Column1.snippet.totalReplyCount" tableColumnId="19"/>
      <queryTableField id="20" name="Column1.snippet.isPublic" tableColumnId="2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8" xr16:uid="{D07CF1BC-45E9-4348-9009-B5AE467E8863}" autoFormatId="16" applyNumberFormats="0" applyBorderFormats="0" applyFontFormats="0" applyPatternFormats="0" applyAlignmentFormats="0" applyWidthHeightFormats="0">
  <queryTableRefresh nextId="3">
    <queryTableFields count="2">
      <queryTableField id="1" name="Name" tableColumnId="1"/>
      <queryTableField id="2" name="Value"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7" xr16:uid="{4C9A6F43-5B3E-4E94-8058-DC021EF4CF17}" autoFormatId="16" applyNumberFormats="0" applyBorderFormats="0" applyFontFormats="0" applyPatternFormats="0" applyAlignmentFormats="0" applyWidthHeightFormats="0">
  <queryTableRefresh nextId="13">
    <queryTableFields count="12">
      <queryTableField id="1" name="Column1.kind" tableColumnId="1"/>
      <queryTableField id="2" name="Column1.etag" tableColumnId="2"/>
      <queryTableField id="3" name="Column1.id.kind" tableColumnId="3"/>
      <queryTableField id="4" name="Column1.id.videoId" tableColumnId="4"/>
      <queryTableField id="5" name="Column1.snippet.publishedAt" tableColumnId="5"/>
      <queryTableField id="6" name="Column1.snippet.channelId" tableColumnId="6"/>
      <queryTableField id="7" name="Column1.snippet.title" tableColumnId="7"/>
      <queryTableField id="8" name="Column1.snippet.description" tableColumnId="8"/>
      <queryTableField id="9" name="Column1.snippet.thumbnails" tableColumnId="9"/>
      <queryTableField id="10" name="Column1.snippet.channelTitle" tableColumnId="10"/>
      <queryTableField id="11" name="Column1.snippet.liveBroadcastContent" tableColumnId="11"/>
      <queryTableField id="12" name="Column1.snippet.publishTime" tableColumnId="1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connectionId="9" xr16:uid="{2E132CA6-03B4-4F65-9CF9-E2613485789E}" autoFormatId="16" applyNumberFormats="0" applyBorderFormats="0" applyFontFormats="0" applyPatternFormats="0" applyAlignmentFormats="0" applyWidthHeightFormats="0">
  <queryTableRefresh nextId="3">
    <queryTableFields count="2">
      <queryTableField id="1" name="Name" tableColumnId="1"/>
      <queryTableField id="2" name="Value"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4" connectionId="10" xr16:uid="{1E693AF1-1B56-4674-9645-69BE0F9B37B7}" autoFormatId="16" applyNumberFormats="0" applyBorderFormats="0" applyFontFormats="0" applyPatternFormats="0" applyAlignmentFormats="0" applyWidthHeightFormats="0">
  <queryTableRefresh nextId="12">
    <queryTableFields count="11">
      <queryTableField id="1" name="Column1.kind" tableColumnId="1"/>
      <queryTableField id="2" name="Column1.etag" tableColumnId="2"/>
      <queryTableField id="3" name="Column1.id" tableColumnId="3"/>
      <queryTableField id="4" name="Column1.snippet.publishedAt" tableColumnId="4"/>
      <queryTableField id="5" name="Column1.snippet.channelId" tableColumnId="5"/>
      <queryTableField id="6" name="Column1.snippet.title" tableColumnId="6"/>
      <queryTableField id="7" name="Column1.snippet.description" tableColumnId="7"/>
      <queryTableField id="8" name="Column1.snippet.thumbnails" tableColumnId="8"/>
      <queryTableField id="9" name="Column1.snippet.channelTitle" tableColumnId="9"/>
      <queryTableField id="10" name="Column1.snippet.liveBroadcastContent" tableColumnId="10"/>
      <queryTableField id="11" name="Column1.snippet.publishTime" tableColumnId="11"/>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99EEB8-6468-40F0-8CF3-B13BA9D1A648}" name="Table1" displayName="Table1" ref="C22:C23" totalsRowShown="0">
  <autoFilter ref="C22:C23" xr:uid="{1118E8EE-8761-4174-AFAC-3460C7FF0DE7}"/>
  <tableColumns count="1">
    <tableColumn id="1" xr3:uid="{A9F12EE6-41C3-4F13-8AB0-1C9807BF2289}" name="API Ke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AE50AD-2D05-48AE-977A-08AEADBB5A8B}" name="ID_Kanalu" displayName="ID_Kanalu" ref="B17:M18" tableType="queryTable" totalsRowShown="0">
  <autoFilter ref="B17:M18" xr:uid="{25224C60-A81E-4969-AFF5-82BB40F5FF84}"/>
  <tableColumns count="12">
    <tableColumn id="1" xr3:uid="{AB83D5B0-AEB1-4155-950F-1A48725106E9}" uniqueName="1" name="Column1.kind" queryTableFieldId="1"/>
    <tableColumn id="2" xr3:uid="{613AE5D1-6D24-4C2B-8019-84AF52CDA0FF}" uniqueName="2" name="Column1.etag" queryTableFieldId="2"/>
    <tableColumn id="3" xr3:uid="{57543F0C-5C6A-4335-9AB2-340F7826DC47}" uniqueName="3" name="Column1.id.kind" queryTableFieldId="3"/>
    <tableColumn id="4" xr3:uid="{50F321EE-7D85-43B5-9788-98ADB7DD01FC}" uniqueName="4" name="Column1.id.channelId" queryTableFieldId="4"/>
    <tableColumn id="5" xr3:uid="{D7C21132-FC35-4C42-9E81-321D7FB96EB3}" uniqueName="5" name="Column1.snippet.publishedAt" queryTableFieldId="5"/>
    <tableColumn id="6" xr3:uid="{B097640C-B494-4929-9C84-43610A2DF3E4}" uniqueName="6" name="Column1.snippet.channelId" queryTableFieldId="6"/>
    <tableColumn id="7" xr3:uid="{B26C5F11-6685-454F-9058-2345521B3F01}" uniqueName="7" name="Column1.snippet.title" queryTableFieldId="7"/>
    <tableColumn id="8" xr3:uid="{AFE6D19F-6455-4CC5-8F71-E93465255C3D}" uniqueName="8" name="Column1.snippet.description" queryTableFieldId="8"/>
    <tableColumn id="9" xr3:uid="{9CE8CD58-FA9C-4F00-B64A-DC25DA461E60}" uniqueName="9" name="Column1.snippet.thumbnails" queryTableFieldId="9"/>
    <tableColumn id="10" xr3:uid="{11813915-AA7D-4132-AF0F-945CB181603B}" uniqueName="10" name="Column1.snippet.channelTitle" queryTableFieldId="10"/>
    <tableColumn id="11" xr3:uid="{D1BC6FAC-DB2D-4F95-9FE2-DFE894B77573}" uniqueName="11" name="Column1.snippet.liveBroadcastContent" queryTableFieldId="11"/>
    <tableColumn id="12" xr3:uid="{3A61352C-9DEF-4806-8BCC-8BC8ABC3D77C}" uniqueName="12" name="Column1.snippet.publishTime"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E44613-12BC-415E-A500-FA113EF8262C}" name="Kanal_Statystyki" displayName="Kanal_Statystyki" ref="B34:C38" tableType="queryTable" totalsRowShown="0">
  <autoFilter ref="B34:C38" xr:uid="{59550504-B18F-4518-9E55-4D7C041B725A}"/>
  <tableColumns count="2">
    <tableColumn id="1" xr3:uid="{958588E7-CF2A-4088-B730-F62748554EA9}" uniqueName="1" name="Name" queryTableFieldId="1"/>
    <tableColumn id="2" xr3:uid="{EF9A474F-2EB9-4778-A6BD-7436D3E8FD4E}" uniqueName="2" name="Value" queryTableFieldId="2" dataDxf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3A74A5-7503-4934-9177-66DC2427A40B}" name="Playlisty" displayName="Playlisty" ref="B17:K22" tableType="queryTable" totalsRowShown="0">
  <autoFilter ref="B17:K22" xr:uid="{C6BED13E-D68E-4594-9067-E51B08DD85D5}"/>
  <tableColumns count="10">
    <tableColumn id="1" xr3:uid="{4FA08817-5635-41F8-BA3C-7813C6A54538}" uniqueName="1" name="Column1.kind" queryTableFieldId="1"/>
    <tableColumn id="2" xr3:uid="{96D074BE-EA5C-4CE9-BE2E-1521B3A79E9F}" uniqueName="2" name="Column1.etag" queryTableFieldId="2"/>
    <tableColumn id="3" xr3:uid="{E4F96E4F-C2B4-47F6-AF33-39950C33B895}" uniqueName="3" name="Column1.id" queryTableFieldId="3"/>
    <tableColumn id="4" xr3:uid="{2267DC7D-8AD1-4D55-B266-29D3BC0EA87C}" uniqueName="4" name="Column1.snippet.publishedAt" queryTableFieldId="4"/>
    <tableColumn id="5" xr3:uid="{C8299781-512B-414E-B7DF-24F91DB1AA16}" uniqueName="5" name="Column1.snippet.channelId" queryTableFieldId="5"/>
    <tableColumn id="6" xr3:uid="{63D7FA9B-BD6F-4492-A313-344742D21EB8}" uniqueName="6" name="Column1.snippet.title" queryTableFieldId="6"/>
    <tableColumn id="7" xr3:uid="{51015897-83E8-43D6-95FE-0D981FE03FBD}" uniqueName="7" name="Column1.snippet.description" queryTableFieldId="7"/>
    <tableColumn id="8" xr3:uid="{599AA622-6B39-4923-AAE9-B656B5DA7855}" uniqueName="8" name="Column1.snippet.thumbnails" queryTableFieldId="8"/>
    <tableColumn id="9" xr3:uid="{0729F329-2E62-4C92-8B74-3DF7EABF0F6A}" uniqueName="9" name="Column1.snippet.channelTitle" queryTableFieldId="9"/>
    <tableColumn id="10" xr3:uid="{4993780B-2599-4364-B4EB-50244E2B1BEF}" uniqueName="10" name="Column1.snippet.localized" queryTableField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DBC7C2-8063-4D76-BAE0-D64B34A1D9EC}" name="Playlista_Zawartosc" displayName="Playlista_Zawartosc" ref="B40:K60" tableType="queryTable" totalsRowShown="0">
  <autoFilter ref="B40:K60" xr:uid="{5F06D021-93F1-4D89-BD4F-63003DF0E1F8}"/>
  <tableColumns count="10">
    <tableColumn id="1" xr3:uid="{A7682847-B1F0-4157-B066-469A3DBAB7EC}" uniqueName="1" name="Column1.kind" queryTableFieldId="1"/>
    <tableColumn id="2" xr3:uid="{B9ACEAF7-E031-4BB5-9852-F3308D50EE43}" uniqueName="2" name="Column1.etag" queryTableFieldId="2"/>
    <tableColumn id="3" xr3:uid="{8C8E2558-CA0C-41B7-953F-4F30C574B4B5}" uniqueName="3" name="Column1.id" queryTableFieldId="3"/>
    <tableColumn id="4" xr3:uid="{E29BA9E2-489A-4BA4-8B6B-E9A732383A8F}" uniqueName="4" name="Column1.snippet.publishedAt" queryTableFieldId="4"/>
    <tableColumn id="5" xr3:uid="{C6DC31B9-1D62-48E8-9433-44A82E414CDB}" uniqueName="5" name="Column1.snippet.title" queryTableFieldId="5"/>
    <tableColumn id="6" xr3:uid="{A4BDA663-38E5-4F55-9A57-6DF2394FA2BB}" uniqueName="6" name="Column1.snippet.description" queryTableFieldId="6"/>
    <tableColumn id="7" xr3:uid="{AB2FDA21-6F3D-47F8-8DC7-B6B2A9932BD5}" uniqueName="7" name="Column1.snippet.playlistId" queryTableFieldId="7"/>
    <tableColumn id="8" xr3:uid="{0A53958F-132A-4DA6-A684-088DD1F8344C}" uniqueName="8" name="Column1.snippet.position" queryTableFieldId="8"/>
    <tableColumn id="9" xr3:uid="{E4236EDE-F5A6-446D-8295-146A7FC61A6D}" uniqueName="9" name="Column1.snippet.resourceId.kind" queryTableFieldId="9"/>
    <tableColumn id="10" xr3:uid="{74B60BAD-2EEF-4271-8664-6E25EA67CBF7}" uniqueName="10" name="Column1.snippet.resourceId.videoId" queryTableField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ED61A6-9196-451B-B149-0EDEDDEE1EE4}" name="Video" displayName="Video" ref="B18:C29" tableType="queryTable" totalsRowShown="0">
  <autoFilter ref="B18:C29" xr:uid="{EEBCA38A-A02F-44C7-97BE-6F24E8C904E9}"/>
  <tableColumns count="2">
    <tableColumn id="1" xr3:uid="{F51FCC44-55B5-4AE1-8360-E90053EED061}" uniqueName="1" name="Name" queryTableFieldId="1"/>
    <tableColumn id="2" xr3:uid="{482B329D-0981-42F1-BF9A-A4AF245A2A5A}" uniqueName="2" name="Value"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D0E0A0-89E7-4921-9CBC-1ECA3EF47554}" name="Statystyki_Video" displayName="Statystyki_Video" ref="B42:C45" tableType="queryTable" totalsRowShown="0">
  <autoFilter ref="B42:C45" xr:uid="{A17CC231-B515-42FD-8B33-94C420C5B6DE}"/>
  <tableColumns count="2">
    <tableColumn id="1" xr3:uid="{B1BB0D7C-37A2-474D-A33B-6219F104532F}" uniqueName="1" name="Name" queryTableFieldId="1"/>
    <tableColumn id="2" xr3:uid="{9F339B56-CA07-4DCD-9EDE-B30EB3A9082D}" uniqueName="2" name="Value" queryTableFieldId="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02354F7-0063-46A6-B0AA-6A4F66178BE3}" name="Komentarze" displayName="Komentarze" ref="D21:W41" tableType="queryTable" totalsRowShown="0">
  <autoFilter ref="D21:W41" xr:uid="{2E940779-C9E9-4380-8383-98C255B61D91}"/>
  <tableColumns count="20">
    <tableColumn id="1" xr3:uid="{9A51751A-7AD1-4D70-B5D5-FAA1119F7AC1}" uniqueName="1" name="Column1.kind" queryTableFieldId="1"/>
    <tableColumn id="2" xr3:uid="{9C1D419B-574F-46E7-B36F-C13B3D84CC96}" uniqueName="2" name="Column1.etag" queryTableFieldId="2"/>
    <tableColumn id="3" xr3:uid="{538DEF0E-073F-45D2-805C-542D409BEA8E}" uniqueName="3" name="Column1.id" queryTableFieldId="3"/>
    <tableColumn id="4" xr3:uid="{8E83F48F-7656-4051-BC9C-1AA6C8135A49}" uniqueName="4" name="Column1.snippet.videoId" queryTableFieldId="4"/>
    <tableColumn id="5" xr3:uid="{DA94C7CA-9432-4935-AC81-68C67AA77D6E}" uniqueName="5" name="Column1.snippet.topLevelComment.id" queryTableFieldId="5"/>
    <tableColumn id="6" xr3:uid="{323FC161-8066-4A6A-844A-D6DAB8EE7EDE}" uniqueName="6" name="Column1.snippet.topLevelComment.snippet.videoId" queryTableFieldId="6"/>
    <tableColumn id="7" xr3:uid="{910BDA9C-2088-4CAE-A5AD-3567EEDF8A2B}" uniqueName="7" name="Column1.snippet.topLevelComment.snippet.textDisplay" queryTableFieldId="7"/>
    <tableColumn id="8" xr3:uid="{F188455D-96D8-4EB9-9C89-BA9E505A5086}" uniqueName="8" name="Column1.snippet.topLevelComment.snippet.textOriginal" queryTableFieldId="8"/>
    <tableColumn id="9" xr3:uid="{2AC1EF1A-EFF6-42A1-90F9-CC0381859556}" uniqueName="9" name="Column1.snippet.topLevelComment.snippet.authorDisplayName" queryTableFieldId="9"/>
    <tableColumn id="10" xr3:uid="{4019281C-CA95-40FE-BC00-CE27FCFF7859}" uniqueName="10" name="Column1.snippet.topLevelComment.snippet.authorProfileImageUrl" queryTableFieldId="10"/>
    <tableColumn id="11" xr3:uid="{8F0EB0C0-95C6-4B1A-AF73-7E844CBAFD70}" uniqueName="11" name="Column1.snippet.topLevelComment.snippet.authorChannelUrl" queryTableFieldId="11"/>
    <tableColumn id="12" xr3:uid="{B74858CA-3C28-4CDD-B98C-95DD508CB066}" uniqueName="12" name="Column1.snippet.topLevelComment.snippet.authorChannelId" queryTableFieldId="12"/>
    <tableColumn id="13" xr3:uid="{F6D09700-3303-4FEC-B5C8-267F41659965}" uniqueName="13" name="Column1.snippet.topLevelComment.snippet.canRate" queryTableFieldId="13"/>
    <tableColumn id="14" xr3:uid="{49B2F135-30E5-4A39-98D8-E22D3425A92A}" uniqueName="14" name="Column1.snippet.topLevelComment.snippet.viewerRating" queryTableFieldId="14"/>
    <tableColumn id="15" xr3:uid="{3A27BF0B-9C6B-4CCD-8FFA-10DFF4D3D4CE}" uniqueName="15" name="Column1.snippet.topLevelComment.snippet.likeCount" queryTableFieldId="15"/>
    <tableColumn id="16" xr3:uid="{9D95EAB8-B4F5-4DAC-A680-05157C14B469}" uniqueName="16" name="Column1.snippet.topLevelComment.snippet.publishedAt" queryTableFieldId="16"/>
    <tableColumn id="17" xr3:uid="{4E0F6BCD-6925-4786-8A54-3EED1E62918E}" uniqueName="17" name="Column1.snippet.topLevelComment.snippet.updatedAt" queryTableFieldId="17"/>
    <tableColumn id="18" xr3:uid="{2BBE5214-C246-472C-9F2F-8E29D6C675A1}" uniqueName="18" name="Column1.snippet.canReply" queryTableFieldId="18"/>
    <tableColumn id="19" xr3:uid="{57EDE887-6C70-4249-ABD5-52E59CDCD208}" uniqueName="19" name="Column1.snippet.totalReplyCount" queryTableFieldId="19"/>
    <tableColumn id="20" xr3:uid="{AE061DE0-D74A-4521-9FF4-A8CB51FE4223}" uniqueName="20" name="Column1.snippet.isPublic" queryTableFieldId="2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D32ABC5-EAA8-427B-8EE5-9DE85613E047}" name="Rammstein_Paginacja_Pierwszy" displayName="Rammstein_Paginacja_Pierwszy" ref="B23:C29" tableType="queryTable" totalsRowShown="0">
  <autoFilter ref="B23:C29" xr:uid="{488A6A68-8FD5-47A9-9848-E5DED839D84B}"/>
  <tableColumns count="2">
    <tableColumn id="1" xr3:uid="{85BAD07A-C39B-45BF-BB1C-69116293A752}" uniqueName="1" name="Name" queryTableFieldId="1"/>
    <tableColumn id="2" xr3:uid="{D2DD3CE5-2367-407A-8CD4-5A20C6346DCB}" uniqueName="2" name="Value" queryTableField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1FD2830-7582-4242-811F-B47552026FE9}" name="Rammstein_Paginacja_Pierwszt" displayName="Rammstein_Paginacja_Pierwszt" ref="B34:M39" tableType="queryTable" totalsRowShown="0">
  <autoFilter ref="B34:M39" xr:uid="{C9D88058-E859-4550-AB59-AEB0F895A76D}"/>
  <tableColumns count="12">
    <tableColumn id="1" xr3:uid="{39BCD35A-72AC-4ACF-BC1F-7FF811839BFC}" uniqueName="1" name="Column1.kind" queryTableFieldId="1"/>
    <tableColumn id="2" xr3:uid="{76B8932C-17A3-475B-9E0D-81166201FCFC}" uniqueName="2" name="Column1.etag" queryTableFieldId="2"/>
    <tableColumn id="3" xr3:uid="{40510E54-F485-44E4-8BEE-F301843B8FC8}" uniqueName="3" name="Column1.id.kind" queryTableFieldId="3"/>
    <tableColumn id="4" xr3:uid="{CB5619C6-4DDA-4F38-B5F3-B27E94A3FE11}" uniqueName="4" name="Column1.id.videoId" queryTableFieldId="4"/>
    <tableColumn id="5" xr3:uid="{D0079E1E-1DDD-4C1F-908E-07D32432BD54}" uniqueName="5" name="Column1.snippet.publishedAt" queryTableFieldId="5"/>
    <tableColumn id="6" xr3:uid="{C3F023BB-045A-42C4-B9DB-48BD86F22326}" uniqueName="6" name="Column1.snippet.channelId" queryTableFieldId="6"/>
    <tableColumn id="7" xr3:uid="{98A7F980-7090-4070-9BAE-589DB3FD3DBD}" uniqueName="7" name="Column1.snippet.title" queryTableFieldId="7"/>
    <tableColumn id="8" xr3:uid="{50678406-C362-4AC9-BBC8-AAA32B8A6E02}" uniqueName="8" name="Column1.snippet.description" queryTableFieldId="8"/>
    <tableColumn id="9" xr3:uid="{7F3B44DB-CDCC-4563-95AD-39A2B3D35C13}" uniqueName="9" name="Column1.snippet.thumbnails" queryTableFieldId="9"/>
    <tableColumn id="10" xr3:uid="{F9ED8C5B-B1E8-48BB-B630-2120AD77469B}" uniqueName="10" name="Column1.snippet.channelTitle" queryTableFieldId="10"/>
    <tableColumn id="11" xr3:uid="{E80FDA0C-9DA4-477E-973E-AF5672D7989A}" uniqueName="11" name="Column1.snippet.liveBroadcastContent" queryTableFieldId="11"/>
    <tableColumn id="12" xr3:uid="{5A274AA7-CA99-4386-8AC4-D8BA84D4372E}" uniqueName="12" name="Column1.snippet.publishTime" queryTableFieldId="1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FC934C6-80E9-4C62-8C69-4094883494A9}" name="Table11" displayName="Table11" ref="B44:B45" totalsRowShown="0" dataDxfId="2" tableBorderDxfId="1">
  <autoFilter ref="B44:B45" xr:uid="{569FEBCB-6CEF-4165-924B-BEA98B34E696}"/>
  <tableColumns count="1">
    <tableColumn id="1" xr3:uid="{917DCFBC-F76E-4F51-9748-5CD329DE1C6C}" name="PaginationToken" dataDxfId="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7790874-D474-4E06-A413-93624E167C2B}" name="Rammstein_Paginacja_ZmiennyDane" displayName="Rammstein_Paginacja_ZmiennyDane" ref="B56:C63" tableType="queryTable" totalsRowShown="0">
  <autoFilter ref="B56:C63" xr:uid="{75AB3E9A-CA8F-41BD-B24C-A330E09D1D2A}"/>
  <tableColumns count="2">
    <tableColumn id="1" xr3:uid="{1E84CA13-F206-44C0-AA8F-A0B9705959C5}" uniqueName="1" name="Name" queryTableFieldId="1"/>
    <tableColumn id="2" xr3:uid="{04315F1F-061F-48CB-A66C-76B218EFF084}" uniqueName="2" name="Value" queryTableFieldId="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5A3ACA8-1599-4DC9-B5FB-F04B2F2F19B5}" name="Rammstein_Paginacja_ZmiennyDane__2" displayName="Rammstein_Paginacja_ZmiennyDane__2" ref="B69:L74" tableType="queryTable" totalsRowShown="0">
  <autoFilter ref="B69:L74" xr:uid="{E70B780D-AB0B-4EA5-827F-CDAE51D52CFF}"/>
  <tableColumns count="11">
    <tableColumn id="1" xr3:uid="{2AB246CA-C995-423E-A271-0D327AD568A3}" uniqueName="1" name="Column1.kind" queryTableFieldId="1"/>
    <tableColumn id="2" xr3:uid="{F85A7E2D-CC8D-42B0-95C1-66B35A5F096F}" uniqueName="2" name="Column1.etag" queryTableFieldId="2"/>
    <tableColumn id="3" xr3:uid="{AE91653D-9E98-4277-B8B4-56C96002B029}" uniqueName="3" name="Column1.id" queryTableFieldId="3"/>
    <tableColumn id="4" xr3:uid="{C3FDB473-38E5-42D6-AF5A-FA02ED7173F2}" uniqueName="4" name="Column1.snippet.publishedAt" queryTableFieldId="4"/>
    <tableColumn id="5" xr3:uid="{0CF7E382-1603-48B2-AECC-1D65226BD9AB}" uniqueName="5" name="Column1.snippet.channelId" queryTableFieldId="5"/>
    <tableColumn id="6" xr3:uid="{0A131260-65DD-40D1-93B8-D5475C15F540}" uniqueName="6" name="Column1.snippet.title" queryTableFieldId="6"/>
    <tableColumn id="7" xr3:uid="{8BF14C7E-65E1-41AA-A734-38C02EC668BE}" uniqueName="7" name="Column1.snippet.description" queryTableFieldId="7"/>
    <tableColumn id="8" xr3:uid="{BF641687-06E1-407E-8E63-17E3680C5D15}" uniqueName="8" name="Column1.snippet.thumbnails" queryTableFieldId="8"/>
    <tableColumn id="9" xr3:uid="{C01E8329-785A-4509-9B79-DDC10C553077}" uniqueName="9" name="Column1.snippet.channelTitle" queryTableFieldId="9"/>
    <tableColumn id="10" xr3:uid="{3003E365-4624-4068-A37F-8E3462284898}" uniqueName="10" name="Column1.snippet.liveBroadcastContent" queryTableFieldId="10"/>
    <tableColumn id="11" xr3:uid="{F562FF6E-FFB7-4972-B574-AD43A969ACD8}" uniqueName="11" name="Column1.snippet.publishTim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nsole.cloud.google.com/" TargetMode="External"/><Relationship Id="rId2" Type="http://schemas.openxmlformats.org/officeDocument/2006/relationships/hyperlink" Target="https://developers.google.com/youtube/v3" TargetMode="External"/><Relationship Id="rId1" Type="http://schemas.openxmlformats.org/officeDocument/2006/relationships/hyperlink" Target="https://www.youtube.com/c/RMF24Video" TargetMode="External"/><Relationship Id="rId5" Type="http://schemas.openxmlformats.org/officeDocument/2006/relationships/table" Target="../tables/table1.xml"/><Relationship Id="rId4" Type="http://schemas.openxmlformats.org/officeDocument/2006/relationships/hyperlink" Target="https://sqlitybi.com/formula-firewall-error-referencing-queries-r-python-script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googleapis.com/youtube/v3/channels?part=statistics&amp;id=UCkC9YgH_FlqOhOIoTDFt4CA&amp;key=%5bYOUR_API_KEY%5d" TargetMode="External"/><Relationship Id="rId2" Type="http://schemas.openxmlformats.org/officeDocument/2006/relationships/hyperlink" Target="https://youtube.googleapis.com/youtube/v3/search?part=snippet&amp;q=RMF24Video&amp;type=channel&amp;key=%5bYOUR_API_KEY%5d" TargetMode="External"/><Relationship Id="rId1" Type="http://schemas.openxmlformats.org/officeDocument/2006/relationships/hyperlink" Target="https://developers.google.com/youtube/v3/guides/working_with_channel_ids" TargetMode="Externa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hyperlink" Target="https://youtube.googleapis.com/youtube/v3/playlistItems?part=snippet&amp;maxResults=20&amp;playlistId=PLcrRSEwRMEPUZMWs6uWBd2hleWyUILXIK&amp;key=%5bYOUR_API_KEY%5d" TargetMode="External"/><Relationship Id="rId2" Type="http://schemas.openxmlformats.org/officeDocument/2006/relationships/hyperlink" Target="https://youtube.googleapis.com/youtube/v3/playlists?part=snippet&amp;channelId=UCkC9YgH_FlqOhOIoTDFt4CA&amp;key=%5bYOUR_API_KEY%5d" TargetMode="External"/><Relationship Id="rId1" Type="http://schemas.openxmlformats.org/officeDocument/2006/relationships/hyperlink" Target="https://developers.google.com/youtube/v3/docs/playlists/list"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hyperlink" Target="https://developers.google.com/youtube/v3/docs/playlistItems/list"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hyperlink" Target="https://youtube.googleapis.com/youtube/v3/videos?part=statistics&amp;id=_GRz_GsSb6w&amp;key=%5bYOUR_API_KEY%5d" TargetMode="External"/><Relationship Id="rId1" Type="http://schemas.openxmlformats.org/officeDocument/2006/relationships/hyperlink" Target="https://developers.google.com/youtube/v3/docs/videos/list" TargetMode="External"/><Relationship Id="rId4" Type="http://schemas.openxmlformats.org/officeDocument/2006/relationships/table" Target="../tables/table7.xml"/></Relationships>
</file>

<file path=xl/worksheets/_rels/sheet5.xml.rels><?xml version="1.0" encoding="UTF-8" standalone="yes"?>
<Relationships xmlns="http://schemas.openxmlformats.org/package/2006/relationships"><Relationship Id="rId3" Type="http://schemas.openxmlformats.org/officeDocument/2006/relationships/hyperlink" Target="https://developers.google.com/youtube/v3/docs/commentThreads/" TargetMode="External"/><Relationship Id="rId2" Type="http://schemas.openxmlformats.org/officeDocument/2006/relationships/hyperlink" Target="https://youtube.googleapis.com/youtube/v3/commentThreads?part=snippet&amp;videoId=ArLcBEfKOdw&amp;key=%5bYOUR_API_KEY%5d" TargetMode="External"/><Relationship Id="rId1" Type="http://schemas.openxmlformats.org/officeDocument/2006/relationships/hyperlink" Target="https://www.youtube.com/watch?v=ArLcBEfKOdw" TargetMode="External"/><Relationship Id="rId4" Type="http://schemas.openxmlformats.org/officeDocument/2006/relationships/table" Target="../tables/table8.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youtube.googleapis.com/youtube/v3/search?part=snippet&amp;q=Rammstein&amp;pageToken=%22%20&amp;%20%20&amp;%22key=%5bYOUR_API_KEY%5d%22" TargetMode="External"/><Relationship Id="rId7" Type="http://schemas.openxmlformats.org/officeDocument/2006/relationships/table" Target="../tables/table12.xml"/><Relationship Id="rId2" Type="http://schemas.openxmlformats.org/officeDocument/2006/relationships/hyperlink" Target="https://youtube.googleapis.com/youtube/v3/search?part=snippet&amp;q=Rammstein&amp;key=%5bYOUR_API_KEY%5d" TargetMode="External"/><Relationship Id="rId1" Type="http://schemas.openxmlformats.org/officeDocument/2006/relationships/hyperlink" Target="https://developers.google.com/youtube/v3/guides/implementation/pagination" TargetMode="External"/><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AB11F-F9CC-4EAE-9595-573866FF060B}">
  <dimension ref="C3:C22"/>
  <sheetViews>
    <sheetView showGridLines="0" workbookViewId="0">
      <selection activeCell="C23" sqref="C23"/>
    </sheetView>
  </sheetViews>
  <sheetFormatPr defaultRowHeight="15" x14ac:dyDescent="0.25"/>
  <cols>
    <col min="3" max="3" width="9.85546875" customWidth="1"/>
  </cols>
  <sheetData>
    <row r="3" spans="3:3" x14ac:dyDescent="0.25">
      <c r="C3" t="s">
        <v>7</v>
      </c>
    </row>
    <row r="6" spans="3:3" x14ac:dyDescent="0.25">
      <c r="C6" s="2" t="s">
        <v>6</v>
      </c>
    </row>
    <row r="8" spans="3:3" x14ac:dyDescent="0.25">
      <c r="C8" t="s">
        <v>4</v>
      </c>
    </row>
    <row r="9" spans="3:3" x14ac:dyDescent="0.25">
      <c r="C9" s="1" t="s">
        <v>3</v>
      </c>
    </row>
    <row r="11" spans="3:3" x14ac:dyDescent="0.25">
      <c r="C11" t="s">
        <v>5</v>
      </c>
    </row>
    <row r="12" spans="3:3" x14ac:dyDescent="0.25">
      <c r="C12" s="1" t="s">
        <v>2</v>
      </c>
    </row>
    <row r="14" spans="3:3" x14ac:dyDescent="0.25">
      <c r="C14" t="s">
        <v>1</v>
      </c>
    </row>
    <row r="15" spans="3:3" x14ac:dyDescent="0.25">
      <c r="C15" s="1" t="s">
        <v>0</v>
      </c>
    </row>
    <row r="17" spans="3:3" x14ac:dyDescent="0.25">
      <c r="C17" t="s">
        <v>52</v>
      </c>
    </row>
    <row r="18" spans="3:3" x14ac:dyDescent="0.25">
      <c r="C18" s="1" t="s">
        <v>51</v>
      </c>
    </row>
    <row r="20" spans="3:3" x14ac:dyDescent="0.25">
      <c r="C20" s="2" t="s">
        <v>53</v>
      </c>
    </row>
    <row r="22" spans="3:3" x14ac:dyDescent="0.25">
      <c r="C22" t="s">
        <v>13</v>
      </c>
    </row>
  </sheetData>
  <hyperlinks>
    <hyperlink ref="C15" r:id="rId1" xr:uid="{10070F1C-4B2C-4E8A-8415-9E73B8CF9D5A}"/>
    <hyperlink ref="C12" r:id="rId2" xr:uid="{33445312-CCEE-4575-94F9-58349B51383C}"/>
    <hyperlink ref="C9" r:id="rId3" xr:uid="{6122A11B-0B3C-401F-8C16-5822AAC377FE}"/>
    <hyperlink ref="C18" r:id="rId4" xr:uid="{D232D928-4DEA-4EDC-B492-3977BD18707D}"/>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91945-790A-483D-AF24-07CEF58648A9}">
  <dimension ref="B4:M38"/>
  <sheetViews>
    <sheetView showGridLines="0" workbookViewId="0">
      <selection activeCell="E34" sqref="E34"/>
    </sheetView>
  </sheetViews>
  <sheetFormatPr defaultRowHeight="15" x14ac:dyDescent="0.25"/>
  <cols>
    <col min="2" max="2" width="22.28515625" bestFit="1" customWidth="1"/>
    <col min="3" max="3" width="10" bestFit="1" customWidth="1"/>
    <col min="4" max="4" width="18" bestFit="1" customWidth="1"/>
    <col min="5" max="5" width="27.28515625" bestFit="1" customWidth="1"/>
    <col min="6" max="6" width="30.42578125" bestFit="1" customWidth="1"/>
    <col min="7" max="7" width="28.28515625" bestFit="1" customWidth="1"/>
    <col min="8" max="8" width="23" bestFit="1" customWidth="1"/>
    <col min="9" max="9" width="81.140625" bestFit="1" customWidth="1"/>
    <col min="10" max="10" width="29.5703125" bestFit="1" customWidth="1"/>
    <col min="11" max="11" width="30.5703125" bestFit="1" customWidth="1"/>
    <col min="12" max="12" width="38.85546875" bestFit="1" customWidth="1"/>
    <col min="13" max="13" width="30.5703125" bestFit="1" customWidth="1"/>
  </cols>
  <sheetData>
    <row r="4" spans="2:3" x14ac:dyDescent="0.25">
      <c r="B4" s="2" t="s">
        <v>9</v>
      </c>
    </row>
    <row r="5" spans="2:3" x14ac:dyDescent="0.25">
      <c r="B5" s="1"/>
    </row>
    <row r="6" spans="2:3" x14ac:dyDescent="0.25">
      <c r="B6" t="s">
        <v>10</v>
      </c>
      <c r="C6" s="1" t="s">
        <v>8</v>
      </c>
    </row>
    <row r="9" spans="2:3" x14ac:dyDescent="0.25">
      <c r="B9" t="s">
        <v>12</v>
      </c>
    </row>
    <row r="10" spans="2:3" x14ac:dyDescent="0.25">
      <c r="B10" s="1" t="s">
        <v>11</v>
      </c>
    </row>
    <row r="12" spans="2:3" x14ac:dyDescent="0.25">
      <c r="B12" t="s">
        <v>35</v>
      </c>
    </row>
    <row r="13" spans="2:3" x14ac:dyDescent="0.25">
      <c r="B13" t="str">
        <f>SUBSTITUTE(B10,"[YOUR_API_KEY]","")&amp;Table1[API Key]</f>
        <v>https://youtube.googleapis.com/youtube/v3/search?part=snippet&amp;q=RMF24Video&amp;type=channel&amp;key=</v>
      </c>
    </row>
    <row r="16" spans="2:3" x14ac:dyDescent="0.25">
      <c r="B16" s="2" t="s">
        <v>50</v>
      </c>
    </row>
    <row r="17" spans="2:13" x14ac:dyDescent="0.25">
      <c r="B17" t="s">
        <v>14</v>
      </c>
      <c r="C17" t="s">
        <v>15</v>
      </c>
      <c r="D17" t="s">
        <v>16</v>
      </c>
      <c r="E17" t="s">
        <v>17</v>
      </c>
      <c r="F17" t="s">
        <v>18</v>
      </c>
      <c r="G17" t="s">
        <v>19</v>
      </c>
      <c r="H17" t="s">
        <v>20</v>
      </c>
      <c r="I17" t="s">
        <v>21</v>
      </c>
      <c r="J17" t="s">
        <v>22</v>
      </c>
      <c r="K17" t="s">
        <v>23</v>
      </c>
      <c r="L17" t="s">
        <v>24</v>
      </c>
      <c r="M17" t="s">
        <v>25</v>
      </c>
    </row>
    <row r="18" spans="2:13" x14ac:dyDescent="0.25">
      <c r="B18" t="s">
        <v>26</v>
      </c>
      <c r="C18" t="s">
        <v>33</v>
      </c>
      <c r="D18" t="s">
        <v>27</v>
      </c>
      <c r="E18" t="s">
        <v>28</v>
      </c>
      <c r="F18" t="s">
        <v>29</v>
      </c>
      <c r="G18" t="s">
        <v>28</v>
      </c>
      <c r="H18" t="s">
        <v>30</v>
      </c>
      <c r="I18" t="s">
        <v>31</v>
      </c>
      <c r="J18" t="s">
        <v>32</v>
      </c>
      <c r="K18" t="s">
        <v>30</v>
      </c>
      <c r="L18" t="s">
        <v>34</v>
      </c>
      <c r="M18" t="s">
        <v>29</v>
      </c>
    </row>
    <row r="25" spans="2:13" x14ac:dyDescent="0.25">
      <c r="B25" s="2" t="s">
        <v>36</v>
      </c>
    </row>
    <row r="27" spans="2:13" x14ac:dyDescent="0.25">
      <c r="B27" t="s">
        <v>12</v>
      </c>
    </row>
    <row r="28" spans="2:13" x14ac:dyDescent="0.25">
      <c r="B28" s="1" t="s">
        <v>37</v>
      </c>
    </row>
    <row r="30" spans="2:13" x14ac:dyDescent="0.25">
      <c r="B30" t="s">
        <v>35</v>
      </c>
    </row>
    <row r="31" spans="2:13" x14ac:dyDescent="0.25">
      <c r="B31" t="str">
        <f>SUBSTITUTE(B28,"[YOUR_API_KEY]","")&amp;Table1[API Key]</f>
        <v>https://youtube.googleapis.com/youtube/v3/channels?part=statistics&amp;id=UCkC9YgH_FlqOhOIoTDFt4CA&amp;key=</v>
      </c>
    </row>
    <row r="34" spans="2:3" x14ac:dyDescent="0.25">
      <c r="B34" t="s">
        <v>38</v>
      </c>
      <c r="C34" t="s">
        <v>39</v>
      </c>
    </row>
    <row r="35" spans="2:3" x14ac:dyDescent="0.25">
      <c r="B35" t="s">
        <v>40</v>
      </c>
      <c r="C35" s="3" t="s">
        <v>41</v>
      </c>
    </row>
    <row r="36" spans="2:3" x14ac:dyDescent="0.25">
      <c r="B36" t="s">
        <v>42</v>
      </c>
      <c r="C36" s="3" t="s">
        <v>43</v>
      </c>
    </row>
    <row r="37" spans="2:3" x14ac:dyDescent="0.25">
      <c r="B37" t="s">
        <v>44</v>
      </c>
      <c r="C37" s="3" t="b">
        <v>0</v>
      </c>
    </row>
    <row r="38" spans="2:3" x14ac:dyDescent="0.25">
      <c r="B38" t="s">
        <v>45</v>
      </c>
      <c r="C38" s="3" t="s">
        <v>46</v>
      </c>
    </row>
  </sheetData>
  <hyperlinks>
    <hyperlink ref="C6" r:id="rId1" xr:uid="{4A0E2A4C-6589-4C5C-9AE1-082DC2E26F29}"/>
    <hyperlink ref="B10" r:id="rId2" xr:uid="{9D803437-FAC7-454B-9E65-E87492720673}"/>
    <hyperlink ref="B28" r:id="rId3" xr:uid="{2C419713-C2CE-4D9D-9205-EBDA2F7DA10F}"/>
  </hyperlinks>
  <pageMargins left="0.7" right="0.7" top="0.75" bottom="0.75" header="0.3" footer="0.3"/>
  <tableParts count="2">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76A19-BCB1-4021-BA63-3972082686CA}">
  <dimension ref="B4:K60"/>
  <sheetViews>
    <sheetView showGridLines="0" topLeftCell="H16" workbookViewId="0">
      <selection activeCell="P23" sqref="P23"/>
    </sheetView>
  </sheetViews>
  <sheetFormatPr defaultRowHeight="15" x14ac:dyDescent="0.25"/>
  <cols>
    <col min="2" max="2" width="20.28515625" bestFit="1" customWidth="1"/>
    <col min="3" max="3" width="33" bestFit="1" customWidth="1"/>
    <col min="4" max="4" width="81.140625" bestFit="1" customWidth="1"/>
    <col min="5" max="5" width="30.42578125" bestFit="1" customWidth="1"/>
    <col min="6" max="7" width="81.140625" bestFit="1" customWidth="1"/>
    <col min="8" max="8" width="40.5703125" bestFit="1" customWidth="1"/>
    <col min="9" max="9" width="26.7109375" bestFit="1" customWidth="1"/>
    <col min="10" max="10" width="33.5703125" bestFit="1" customWidth="1"/>
    <col min="11" max="11" width="36.5703125" bestFit="1" customWidth="1"/>
  </cols>
  <sheetData>
    <row r="4" spans="2:3" x14ac:dyDescent="0.25">
      <c r="B4" s="2" t="s">
        <v>48</v>
      </c>
    </row>
    <row r="6" spans="2:3" x14ac:dyDescent="0.25">
      <c r="B6" t="s">
        <v>10</v>
      </c>
      <c r="C6" s="1" t="s">
        <v>47</v>
      </c>
    </row>
    <row r="8" spans="2:3" x14ac:dyDescent="0.25">
      <c r="B8" t="s">
        <v>12</v>
      </c>
    </row>
    <row r="9" spans="2:3" x14ac:dyDescent="0.25">
      <c r="B9" s="1" t="s">
        <v>49</v>
      </c>
    </row>
    <row r="11" spans="2:3" x14ac:dyDescent="0.25">
      <c r="B11" t="s">
        <v>35</v>
      </c>
    </row>
    <row r="12" spans="2:3" x14ac:dyDescent="0.25">
      <c r="B12" t="str">
        <f>SUBSTITUTE(B9,"[YOUR_API_KEY]","")&amp;Table1[API Key]</f>
        <v>https://youtube.googleapis.com/youtube/v3/playlists?part=snippet&amp;channelId=UCkC9YgH_FlqOhOIoTDFt4CA&amp;key=</v>
      </c>
    </row>
    <row r="14" spans="2:3" x14ac:dyDescent="0.25">
      <c r="B14" s="1"/>
    </row>
    <row r="16" spans="2:3" x14ac:dyDescent="0.25">
      <c r="B16" s="2" t="s">
        <v>50</v>
      </c>
    </row>
    <row r="17" spans="2:11" x14ac:dyDescent="0.25">
      <c r="B17" t="s">
        <v>14</v>
      </c>
      <c r="C17" t="s">
        <v>15</v>
      </c>
      <c r="D17" t="s">
        <v>54</v>
      </c>
      <c r="E17" t="s">
        <v>18</v>
      </c>
      <c r="F17" t="s">
        <v>19</v>
      </c>
      <c r="G17" t="s">
        <v>20</v>
      </c>
      <c r="H17" t="s">
        <v>21</v>
      </c>
      <c r="I17" t="s">
        <v>22</v>
      </c>
      <c r="J17" t="s">
        <v>23</v>
      </c>
      <c r="K17" t="s">
        <v>55</v>
      </c>
    </row>
    <row r="18" spans="2:11" x14ac:dyDescent="0.25">
      <c r="B18" t="s">
        <v>56</v>
      </c>
      <c r="C18" t="s">
        <v>57</v>
      </c>
      <c r="D18" t="s">
        <v>58</v>
      </c>
      <c r="E18" t="s">
        <v>59</v>
      </c>
      <c r="F18" t="s">
        <v>28</v>
      </c>
      <c r="G18" t="s">
        <v>60</v>
      </c>
      <c r="H18" t="s">
        <v>61</v>
      </c>
      <c r="I18" t="s">
        <v>32</v>
      </c>
      <c r="J18" t="s">
        <v>30</v>
      </c>
      <c r="K18" t="s">
        <v>32</v>
      </c>
    </row>
    <row r="19" spans="2:11" x14ac:dyDescent="0.25">
      <c r="B19" t="s">
        <v>56</v>
      </c>
      <c r="C19" t="s">
        <v>62</v>
      </c>
      <c r="D19" t="s">
        <v>63</v>
      </c>
      <c r="E19" t="s">
        <v>64</v>
      </c>
      <c r="F19" t="s">
        <v>28</v>
      </c>
      <c r="G19" t="s">
        <v>65</v>
      </c>
      <c r="H19" t="s">
        <v>61</v>
      </c>
      <c r="I19" t="s">
        <v>32</v>
      </c>
      <c r="J19" t="s">
        <v>30</v>
      </c>
      <c r="K19" t="s">
        <v>32</v>
      </c>
    </row>
    <row r="20" spans="2:11" x14ac:dyDescent="0.25">
      <c r="B20" t="s">
        <v>56</v>
      </c>
      <c r="C20" t="s">
        <v>66</v>
      </c>
      <c r="D20" t="s">
        <v>67</v>
      </c>
      <c r="E20" t="s">
        <v>68</v>
      </c>
      <c r="F20" t="s">
        <v>28</v>
      </c>
      <c r="G20" t="s">
        <v>69</v>
      </c>
      <c r="H20" t="s">
        <v>61</v>
      </c>
      <c r="I20" t="s">
        <v>32</v>
      </c>
      <c r="J20" t="s">
        <v>30</v>
      </c>
      <c r="K20" t="s">
        <v>32</v>
      </c>
    </row>
    <row r="21" spans="2:11" x14ac:dyDescent="0.25">
      <c r="B21" t="s">
        <v>56</v>
      </c>
      <c r="C21" t="s">
        <v>70</v>
      </c>
      <c r="D21" t="s">
        <v>71</v>
      </c>
      <c r="E21" t="s">
        <v>72</v>
      </c>
      <c r="F21" t="s">
        <v>28</v>
      </c>
      <c r="G21" t="s">
        <v>73</v>
      </c>
      <c r="H21" t="s">
        <v>61</v>
      </c>
      <c r="I21" t="s">
        <v>32</v>
      </c>
      <c r="J21" t="s">
        <v>30</v>
      </c>
      <c r="K21" t="s">
        <v>32</v>
      </c>
    </row>
    <row r="22" spans="2:11" x14ac:dyDescent="0.25">
      <c r="B22" t="s">
        <v>56</v>
      </c>
      <c r="C22" t="s">
        <v>74</v>
      </c>
      <c r="D22" t="s">
        <v>75</v>
      </c>
      <c r="E22" t="s">
        <v>76</v>
      </c>
      <c r="F22" t="s">
        <v>28</v>
      </c>
      <c r="G22" t="s">
        <v>77</v>
      </c>
      <c r="H22" t="s">
        <v>61</v>
      </c>
      <c r="I22" t="s">
        <v>32</v>
      </c>
      <c r="J22" t="s">
        <v>30</v>
      </c>
      <c r="K22" t="s">
        <v>32</v>
      </c>
    </row>
    <row r="26" spans="2:11" x14ac:dyDescent="0.25">
      <c r="B26" s="2" t="s">
        <v>78</v>
      </c>
    </row>
    <row r="27" spans="2:11" x14ac:dyDescent="0.25">
      <c r="B27" t="s">
        <v>80</v>
      </c>
    </row>
    <row r="29" spans="2:11" x14ac:dyDescent="0.25">
      <c r="B29" t="s">
        <v>10</v>
      </c>
      <c r="C29" s="1" t="s">
        <v>81</v>
      </c>
    </row>
    <row r="31" spans="2:11" x14ac:dyDescent="0.25">
      <c r="B31" t="s">
        <v>12</v>
      </c>
    </row>
    <row r="32" spans="2:11" x14ac:dyDescent="0.25">
      <c r="B32" s="1" t="s">
        <v>79</v>
      </c>
    </row>
    <row r="34" spans="2:11" x14ac:dyDescent="0.25">
      <c r="B34" t="s">
        <v>35</v>
      </c>
    </row>
    <row r="35" spans="2:11" x14ac:dyDescent="0.25">
      <c r="B35" t="str">
        <f>SUBSTITUTE(B32,"[YOUR_API_KEY]","")&amp;Table1[API Key]</f>
        <v xml:space="preserve">https://youtube.googleapis.com/youtube/v3/playlistItems?part=snippet&amp;maxResults=20&amp;playlistId=PLcrRSEwRMEPUZMWs6uWBd2hleWyUILXIK&amp;key= </v>
      </c>
    </row>
    <row r="39" spans="2:11" x14ac:dyDescent="0.25">
      <c r="B39" s="2" t="s">
        <v>50</v>
      </c>
    </row>
    <row r="40" spans="2:11" x14ac:dyDescent="0.25">
      <c r="B40" t="s">
        <v>14</v>
      </c>
      <c r="C40" t="s">
        <v>15</v>
      </c>
      <c r="D40" t="s">
        <v>54</v>
      </c>
      <c r="E40" t="s">
        <v>18</v>
      </c>
      <c r="F40" t="s">
        <v>20</v>
      </c>
      <c r="G40" t="s">
        <v>21</v>
      </c>
      <c r="H40" t="s">
        <v>82</v>
      </c>
      <c r="I40" t="s">
        <v>83</v>
      </c>
      <c r="J40" t="s">
        <v>84</v>
      </c>
      <c r="K40" t="s">
        <v>85</v>
      </c>
    </row>
    <row r="41" spans="2:11" x14ac:dyDescent="0.25">
      <c r="B41" t="s">
        <v>86</v>
      </c>
      <c r="C41" t="s">
        <v>87</v>
      </c>
      <c r="D41" t="s">
        <v>88</v>
      </c>
      <c r="E41" t="s">
        <v>89</v>
      </c>
      <c r="F41" t="s">
        <v>90</v>
      </c>
      <c r="G41" t="s">
        <v>91</v>
      </c>
      <c r="H41" t="s">
        <v>71</v>
      </c>
      <c r="I41">
        <v>0</v>
      </c>
      <c r="J41" t="s">
        <v>92</v>
      </c>
      <c r="K41" t="s">
        <v>93</v>
      </c>
    </row>
    <row r="42" spans="2:11" x14ac:dyDescent="0.25">
      <c r="B42" t="s">
        <v>86</v>
      </c>
      <c r="C42" t="s">
        <v>94</v>
      </c>
      <c r="D42" t="s">
        <v>95</v>
      </c>
      <c r="E42" t="s">
        <v>96</v>
      </c>
      <c r="F42" t="s">
        <v>97</v>
      </c>
      <c r="G42" t="s">
        <v>98</v>
      </c>
      <c r="H42" t="s">
        <v>71</v>
      </c>
      <c r="I42">
        <v>1</v>
      </c>
      <c r="J42" t="s">
        <v>92</v>
      </c>
      <c r="K42" t="s">
        <v>99</v>
      </c>
    </row>
    <row r="43" spans="2:11" x14ac:dyDescent="0.25">
      <c r="B43" t="s">
        <v>86</v>
      </c>
      <c r="C43" t="s">
        <v>100</v>
      </c>
      <c r="D43" t="s">
        <v>101</v>
      </c>
      <c r="E43" t="s">
        <v>102</v>
      </c>
      <c r="F43" t="s">
        <v>103</v>
      </c>
      <c r="G43" t="s">
        <v>104</v>
      </c>
      <c r="H43" t="s">
        <v>71</v>
      </c>
      <c r="I43">
        <v>2</v>
      </c>
      <c r="J43" t="s">
        <v>92</v>
      </c>
      <c r="K43" t="s">
        <v>105</v>
      </c>
    </row>
    <row r="44" spans="2:11" x14ac:dyDescent="0.25">
      <c r="B44" t="s">
        <v>86</v>
      </c>
      <c r="C44" t="s">
        <v>106</v>
      </c>
      <c r="D44" t="s">
        <v>107</v>
      </c>
      <c r="E44" t="s">
        <v>108</v>
      </c>
      <c r="F44" t="s">
        <v>109</v>
      </c>
      <c r="G44" t="s">
        <v>110</v>
      </c>
      <c r="H44" t="s">
        <v>71</v>
      </c>
      <c r="I44">
        <v>3</v>
      </c>
      <c r="J44" t="s">
        <v>92</v>
      </c>
      <c r="K44" t="s">
        <v>111</v>
      </c>
    </row>
    <row r="45" spans="2:11" x14ac:dyDescent="0.25">
      <c r="B45" t="s">
        <v>86</v>
      </c>
      <c r="C45" t="s">
        <v>112</v>
      </c>
      <c r="D45" t="s">
        <v>113</v>
      </c>
      <c r="E45" t="s">
        <v>114</v>
      </c>
      <c r="F45" t="s">
        <v>115</v>
      </c>
      <c r="G45" t="s">
        <v>116</v>
      </c>
      <c r="H45" t="s">
        <v>71</v>
      </c>
      <c r="I45">
        <v>4</v>
      </c>
      <c r="J45" t="s">
        <v>92</v>
      </c>
      <c r="K45" t="s">
        <v>117</v>
      </c>
    </row>
    <row r="46" spans="2:11" x14ac:dyDescent="0.25">
      <c r="B46" t="s">
        <v>86</v>
      </c>
      <c r="C46" t="s">
        <v>118</v>
      </c>
      <c r="D46" t="s">
        <v>119</v>
      </c>
      <c r="E46" t="s">
        <v>120</v>
      </c>
      <c r="F46" t="s">
        <v>121</v>
      </c>
      <c r="G46" t="s">
        <v>122</v>
      </c>
      <c r="H46" t="s">
        <v>71</v>
      </c>
      <c r="I46">
        <v>5</v>
      </c>
      <c r="J46" t="s">
        <v>92</v>
      </c>
      <c r="K46" t="s">
        <v>123</v>
      </c>
    </row>
    <row r="47" spans="2:11" x14ac:dyDescent="0.25">
      <c r="B47" t="s">
        <v>86</v>
      </c>
      <c r="C47" t="s">
        <v>124</v>
      </c>
      <c r="D47" t="s">
        <v>125</v>
      </c>
      <c r="E47" t="s">
        <v>126</v>
      </c>
      <c r="F47" t="s">
        <v>127</v>
      </c>
      <c r="G47" t="s">
        <v>128</v>
      </c>
      <c r="H47" t="s">
        <v>71</v>
      </c>
      <c r="I47">
        <v>6</v>
      </c>
      <c r="J47" t="s">
        <v>92</v>
      </c>
      <c r="K47" t="s">
        <v>129</v>
      </c>
    </row>
    <row r="48" spans="2:11" x14ac:dyDescent="0.25">
      <c r="B48" t="s">
        <v>86</v>
      </c>
      <c r="C48" t="s">
        <v>130</v>
      </c>
      <c r="D48" t="s">
        <v>131</v>
      </c>
      <c r="E48" t="s">
        <v>132</v>
      </c>
      <c r="F48" t="s">
        <v>133</v>
      </c>
      <c r="G48" t="s">
        <v>134</v>
      </c>
      <c r="H48" t="s">
        <v>71</v>
      </c>
      <c r="I48">
        <v>7</v>
      </c>
      <c r="J48" t="s">
        <v>92</v>
      </c>
      <c r="K48" t="s">
        <v>135</v>
      </c>
    </row>
    <row r="49" spans="2:11" x14ac:dyDescent="0.25">
      <c r="B49" t="s">
        <v>86</v>
      </c>
      <c r="C49" t="s">
        <v>136</v>
      </c>
      <c r="D49" t="s">
        <v>137</v>
      </c>
      <c r="E49" t="s">
        <v>138</v>
      </c>
      <c r="F49" t="s">
        <v>139</v>
      </c>
      <c r="G49" t="s">
        <v>140</v>
      </c>
      <c r="H49" t="s">
        <v>71</v>
      </c>
      <c r="I49">
        <v>8</v>
      </c>
      <c r="J49" t="s">
        <v>92</v>
      </c>
      <c r="K49" t="s">
        <v>141</v>
      </c>
    </row>
    <row r="50" spans="2:11" x14ac:dyDescent="0.25">
      <c r="B50" t="s">
        <v>86</v>
      </c>
      <c r="C50" t="s">
        <v>142</v>
      </c>
      <c r="D50" t="s">
        <v>143</v>
      </c>
      <c r="E50" t="s">
        <v>144</v>
      </c>
      <c r="F50" t="s">
        <v>145</v>
      </c>
      <c r="G50" t="s">
        <v>146</v>
      </c>
      <c r="H50" t="s">
        <v>71</v>
      </c>
      <c r="I50">
        <v>9</v>
      </c>
      <c r="J50" t="s">
        <v>92</v>
      </c>
      <c r="K50" t="s">
        <v>147</v>
      </c>
    </row>
    <row r="51" spans="2:11" x14ac:dyDescent="0.25">
      <c r="B51" t="s">
        <v>86</v>
      </c>
      <c r="C51" t="s">
        <v>148</v>
      </c>
      <c r="D51" t="s">
        <v>149</v>
      </c>
      <c r="E51" t="s">
        <v>150</v>
      </c>
      <c r="F51" t="s">
        <v>151</v>
      </c>
      <c r="G51" t="s">
        <v>152</v>
      </c>
      <c r="H51" t="s">
        <v>71</v>
      </c>
      <c r="I51">
        <v>10</v>
      </c>
      <c r="J51" t="s">
        <v>92</v>
      </c>
      <c r="K51" t="s">
        <v>153</v>
      </c>
    </row>
    <row r="52" spans="2:11" x14ac:dyDescent="0.25">
      <c r="B52" t="s">
        <v>86</v>
      </c>
      <c r="C52" t="s">
        <v>154</v>
      </c>
      <c r="D52" t="s">
        <v>155</v>
      </c>
      <c r="E52" t="s">
        <v>156</v>
      </c>
      <c r="F52" t="s">
        <v>157</v>
      </c>
      <c r="G52" t="s">
        <v>158</v>
      </c>
      <c r="H52" t="s">
        <v>71</v>
      </c>
      <c r="I52">
        <v>11</v>
      </c>
      <c r="J52" t="s">
        <v>92</v>
      </c>
      <c r="K52" t="s">
        <v>159</v>
      </c>
    </row>
    <row r="53" spans="2:11" x14ac:dyDescent="0.25">
      <c r="B53" t="s">
        <v>86</v>
      </c>
      <c r="C53" t="s">
        <v>160</v>
      </c>
      <c r="D53" t="s">
        <v>161</v>
      </c>
      <c r="E53" t="s">
        <v>162</v>
      </c>
      <c r="F53" t="s">
        <v>163</v>
      </c>
      <c r="G53" t="s">
        <v>164</v>
      </c>
      <c r="H53" t="s">
        <v>71</v>
      </c>
      <c r="I53">
        <v>12</v>
      </c>
      <c r="J53" t="s">
        <v>92</v>
      </c>
      <c r="K53" t="s">
        <v>165</v>
      </c>
    </row>
    <row r="54" spans="2:11" x14ac:dyDescent="0.25">
      <c r="B54" t="s">
        <v>86</v>
      </c>
      <c r="C54" t="s">
        <v>166</v>
      </c>
      <c r="D54" t="s">
        <v>167</v>
      </c>
      <c r="E54" t="s">
        <v>168</v>
      </c>
      <c r="F54" t="s">
        <v>169</v>
      </c>
      <c r="G54" t="s">
        <v>170</v>
      </c>
      <c r="H54" t="s">
        <v>71</v>
      </c>
      <c r="I54">
        <v>13</v>
      </c>
      <c r="J54" t="s">
        <v>92</v>
      </c>
      <c r="K54" t="s">
        <v>171</v>
      </c>
    </row>
    <row r="55" spans="2:11" x14ac:dyDescent="0.25">
      <c r="B55" t="s">
        <v>86</v>
      </c>
      <c r="C55" t="s">
        <v>172</v>
      </c>
      <c r="D55" t="s">
        <v>173</v>
      </c>
      <c r="E55" t="s">
        <v>174</v>
      </c>
      <c r="F55" t="s">
        <v>175</v>
      </c>
      <c r="G55" t="s">
        <v>176</v>
      </c>
      <c r="H55" t="s">
        <v>71</v>
      </c>
      <c r="I55">
        <v>14</v>
      </c>
      <c r="J55" t="s">
        <v>92</v>
      </c>
      <c r="K55" t="s">
        <v>177</v>
      </c>
    </row>
    <row r="56" spans="2:11" x14ac:dyDescent="0.25">
      <c r="B56" t="s">
        <v>86</v>
      </c>
      <c r="C56" t="s">
        <v>178</v>
      </c>
      <c r="D56" t="s">
        <v>179</v>
      </c>
      <c r="E56" t="s">
        <v>180</v>
      </c>
      <c r="F56" t="s">
        <v>181</v>
      </c>
      <c r="G56" t="s">
        <v>182</v>
      </c>
      <c r="H56" t="s">
        <v>71</v>
      </c>
      <c r="I56">
        <v>15</v>
      </c>
      <c r="J56" t="s">
        <v>92</v>
      </c>
      <c r="K56" t="s">
        <v>183</v>
      </c>
    </row>
    <row r="57" spans="2:11" x14ac:dyDescent="0.25">
      <c r="B57" t="s">
        <v>86</v>
      </c>
      <c r="C57" t="s">
        <v>184</v>
      </c>
      <c r="D57" t="s">
        <v>185</v>
      </c>
      <c r="E57" t="s">
        <v>186</v>
      </c>
      <c r="F57" t="s">
        <v>187</v>
      </c>
      <c r="G57" t="s">
        <v>188</v>
      </c>
      <c r="H57" t="s">
        <v>71</v>
      </c>
      <c r="I57">
        <v>16</v>
      </c>
      <c r="J57" t="s">
        <v>92</v>
      </c>
      <c r="K57" t="s">
        <v>189</v>
      </c>
    </row>
    <row r="58" spans="2:11" x14ac:dyDescent="0.25">
      <c r="B58" t="s">
        <v>86</v>
      </c>
      <c r="C58" t="s">
        <v>190</v>
      </c>
      <c r="D58" t="s">
        <v>191</v>
      </c>
      <c r="E58" t="s">
        <v>192</v>
      </c>
      <c r="F58" t="s">
        <v>193</v>
      </c>
      <c r="G58" t="s">
        <v>194</v>
      </c>
      <c r="H58" t="s">
        <v>71</v>
      </c>
      <c r="I58">
        <v>17</v>
      </c>
      <c r="J58" t="s">
        <v>92</v>
      </c>
      <c r="K58" t="s">
        <v>195</v>
      </c>
    </row>
    <row r="59" spans="2:11" x14ac:dyDescent="0.25">
      <c r="B59" t="s">
        <v>86</v>
      </c>
      <c r="C59" t="s">
        <v>196</v>
      </c>
      <c r="D59" t="s">
        <v>197</v>
      </c>
      <c r="E59" t="s">
        <v>198</v>
      </c>
      <c r="F59" t="s">
        <v>199</v>
      </c>
      <c r="G59" t="s">
        <v>200</v>
      </c>
      <c r="H59" t="s">
        <v>71</v>
      </c>
      <c r="I59">
        <v>18</v>
      </c>
      <c r="J59" t="s">
        <v>92</v>
      </c>
      <c r="K59" t="s">
        <v>201</v>
      </c>
    </row>
    <row r="60" spans="2:11" x14ac:dyDescent="0.25">
      <c r="B60" t="s">
        <v>86</v>
      </c>
      <c r="C60" t="s">
        <v>202</v>
      </c>
      <c r="D60" t="s">
        <v>203</v>
      </c>
      <c r="E60" t="s">
        <v>204</v>
      </c>
      <c r="F60" t="s">
        <v>205</v>
      </c>
      <c r="G60" t="s">
        <v>206</v>
      </c>
      <c r="H60" t="s">
        <v>71</v>
      </c>
      <c r="I60">
        <v>19</v>
      </c>
      <c r="J60" t="s">
        <v>92</v>
      </c>
      <c r="K60" t="s">
        <v>207</v>
      </c>
    </row>
  </sheetData>
  <hyperlinks>
    <hyperlink ref="C6" r:id="rId1" xr:uid="{89D46D31-25BC-48DA-8825-FB9CD2E66F55}"/>
    <hyperlink ref="B9" r:id="rId2" xr:uid="{F0E27974-72F3-492E-8528-C81BB51B3D41}"/>
    <hyperlink ref="B32" r:id="rId3" xr:uid="{B3EE027E-9A59-472B-9C82-C7C79EE28037}"/>
    <hyperlink ref="C29" r:id="rId4" xr:uid="{16830C58-61EF-4A10-8CC8-2E7309E56897}"/>
  </hyperlinks>
  <pageMargins left="0.7" right="0.7" top="0.75" bottom="0.75" header="0.3" footer="0.3"/>
  <tableParts count="2">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9512F-EB0F-431D-8F56-3266695C1B4E}">
  <dimension ref="B3:J56"/>
  <sheetViews>
    <sheetView showGridLines="0" zoomScale="85" zoomScaleNormal="85" workbookViewId="0">
      <selection activeCell="B1" sqref="B1:J1048576"/>
    </sheetView>
  </sheetViews>
  <sheetFormatPr defaultRowHeight="15" x14ac:dyDescent="0.25"/>
  <cols>
    <col min="2" max="2" width="13.42578125" bestFit="1" customWidth="1"/>
    <col min="3" max="3" width="8.42578125" bestFit="1" customWidth="1"/>
  </cols>
  <sheetData>
    <row r="3" spans="2:10" x14ac:dyDescent="0.25">
      <c r="B3" s="4" t="s">
        <v>208</v>
      </c>
      <c r="C3" s="4"/>
      <c r="D3" s="4"/>
      <c r="E3" s="4"/>
      <c r="F3" s="4"/>
      <c r="G3" s="4"/>
      <c r="H3" s="4"/>
      <c r="I3" s="4"/>
      <c r="J3" s="4"/>
    </row>
    <row r="4" spans="2:10" x14ac:dyDescent="0.25">
      <c r="B4" t="s">
        <v>209</v>
      </c>
    </row>
    <row r="6" spans="2:10" x14ac:dyDescent="0.25">
      <c r="B6" t="s">
        <v>10</v>
      </c>
      <c r="C6" s="1" t="s">
        <v>210</v>
      </c>
    </row>
    <row r="8" spans="2:10" x14ac:dyDescent="0.25">
      <c r="B8" t="s">
        <v>12</v>
      </c>
    </row>
    <row r="9" spans="2:10" x14ac:dyDescent="0.25">
      <c r="B9" s="1" t="s">
        <v>211</v>
      </c>
    </row>
    <row r="11" spans="2:10" x14ac:dyDescent="0.25">
      <c r="B11" t="s">
        <v>35</v>
      </c>
    </row>
    <row r="12" spans="2:10" x14ac:dyDescent="0.25">
      <c r="B12" t="str">
        <f>SUBSTITUTE(B9,"[YOUR_API_KEY]","")&amp;Table1[API Key]</f>
        <v>https://youtube.googleapis.com/youtube/v3/videos?part=snippet&amp;id=_GRz_GsSb6w&amp;key=</v>
      </c>
    </row>
    <row r="17" spans="2:10" x14ac:dyDescent="0.25">
      <c r="B17" s="2" t="s">
        <v>50</v>
      </c>
    </row>
    <row r="18" spans="2:10" x14ac:dyDescent="0.25">
      <c r="B18" t="s">
        <v>38</v>
      </c>
      <c r="C18" t="s">
        <v>39</v>
      </c>
    </row>
    <row r="19" spans="2:10" x14ac:dyDescent="0.25">
      <c r="B19" t="s">
        <v>212</v>
      </c>
      <c r="C19" t="s">
        <v>213</v>
      </c>
    </row>
    <row r="20" spans="2:10" x14ac:dyDescent="0.25">
      <c r="B20" t="s">
        <v>214</v>
      </c>
      <c r="C20" t="s">
        <v>28</v>
      </c>
    </row>
    <row r="21" spans="2:10" x14ac:dyDescent="0.25">
      <c r="B21" t="s">
        <v>215</v>
      </c>
      <c r="C21" t="s">
        <v>90</v>
      </c>
    </row>
    <row r="22" spans="2:10" x14ac:dyDescent="0.25">
      <c r="B22" t="s">
        <v>216</v>
      </c>
      <c r="C22" t="s">
        <v>91</v>
      </c>
    </row>
    <row r="23" spans="2:10" x14ac:dyDescent="0.25">
      <c r="B23" t="s">
        <v>217</v>
      </c>
      <c r="C23" t="s">
        <v>32</v>
      </c>
    </row>
    <row r="24" spans="2:10" x14ac:dyDescent="0.25">
      <c r="B24" t="s">
        <v>218</v>
      </c>
      <c r="C24" t="s">
        <v>30</v>
      </c>
    </row>
    <row r="25" spans="2:10" x14ac:dyDescent="0.25">
      <c r="B25" t="s">
        <v>219</v>
      </c>
      <c r="C25" t="s">
        <v>220</v>
      </c>
    </row>
    <row r="26" spans="2:10" x14ac:dyDescent="0.25">
      <c r="B26" t="s">
        <v>221</v>
      </c>
      <c r="C26" t="s">
        <v>222</v>
      </c>
    </row>
    <row r="27" spans="2:10" x14ac:dyDescent="0.25">
      <c r="B27" t="s">
        <v>223</v>
      </c>
      <c r="C27" t="s">
        <v>34</v>
      </c>
    </row>
    <row r="28" spans="2:10" x14ac:dyDescent="0.25">
      <c r="B28" t="s">
        <v>224</v>
      </c>
      <c r="C28" t="s">
        <v>32</v>
      </c>
    </row>
    <row r="29" spans="2:10" x14ac:dyDescent="0.25">
      <c r="B29" t="s">
        <v>225</v>
      </c>
      <c r="C29" t="s">
        <v>226</v>
      </c>
    </row>
    <row r="32" spans="2:10" x14ac:dyDescent="0.25">
      <c r="B32" s="4" t="s">
        <v>235</v>
      </c>
      <c r="C32" s="4"/>
      <c r="D32" s="4"/>
      <c r="E32" s="4"/>
      <c r="F32" s="4"/>
      <c r="G32" s="4"/>
      <c r="H32" s="4"/>
      <c r="I32" s="4"/>
      <c r="J32" s="4"/>
    </row>
    <row r="33" spans="2:10" x14ac:dyDescent="0.25">
      <c r="B33" t="s">
        <v>12</v>
      </c>
    </row>
    <row r="34" spans="2:10" x14ac:dyDescent="0.25">
      <c r="B34" s="1" t="s">
        <v>228</v>
      </c>
    </row>
    <row r="36" spans="2:10" x14ac:dyDescent="0.25">
      <c r="B36" t="s">
        <v>35</v>
      </c>
    </row>
    <row r="37" spans="2:10" x14ac:dyDescent="0.25">
      <c r="B37" t="str">
        <f>SUBSTITUTE(B34,"[YOUR_API_KEY]","")&amp;Table1[API Key]</f>
        <v>https://youtube.googleapis.com/youtube/v3/videos?part=statistics&amp;id=_GRz_GsSb6w&amp;key=</v>
      </c>
    </row>
    <row r="41" spans="2:10" x14ac:dyDescent="0.25">
      <c r="B41" s="2" t="s">
        <v>50</v>
      </c>
    </row>
    <row r="42" spans="2:10" x14ac:dyDescent="0.25">
      <c r="B42" t="s">
        <v>38</v>
      </c>
      <c r="C42" t="s">
        <v>39</v>
      </c>
    </row>
    <row r="43" spans="2:10" x14ac:dyDescent="0.25">
      <c r="B43" t="s">
        <v>40</v>
      </c>
      <c r="C43" t="s">
        <v>229</v>
      </c>
    </row>
    <row r="44" spans="2:10" x14ac:dyDescent="0.25">
      <c r="B44" t="s">
        <v>230</v>
      </c>
      <c r="C44" t="s">
        <v>231</v>
      </c>
    </row>
    <row r="45" spans="2:10" x14ac:dyDescent="0.25">
      <c r="B45" t="s">
        <v>232</v>
      </c>
      <c r="C45" t="s">
        <v>233</v>
      </c>
    </row>
    <row r="48" spans="2:10" x14ac:dyDescent="0.25">
      <c r="B48" s="4" t="s">
        <v>237</v>
      </c>
      <c r="C48" s="4"/>
      <c r="D48" s="4"/>
      <c r="E48" s="4"/>
      <c r="F48" s="4"/>
      <c r="G48" s="4"/>
      <c r="H48" s="4"/>
      <c r="I48" s="4"/>
      <c r="J48" s="4"/>
    </row>
    <row r="49" spans="2:2" x14ac:dyDescent="0.25">
      <c r="B49" t="s">
        <v>236</v>
      </c>
    </row>
    <row r="52" spans="2:2" x14ac:dyDescent="0.25">
      <c r="B52" t="s">
        <v>93</v>
      </c>
    </row>
    <row r="53" spans="2:2" x14ac:dyDescent="0.25">
      <c r="B53" t="s">
        <v>99</v>
      </c>
    </row>
    <row r="54" spans="2:2" x14ac:dyDescent="0.25">
      <c r="B54" t="s">
        <v>105</v>
      </c>
    </row>
    <row r="55" spans="2:2" x14ac:dyDescent="0.25">
      <c r="B55" t="s">
        <v>111</v>
      </c>
    </row>
    <row r="56" spans="2:2" x14ac:dyDescent="0.25">
      <c r="B56" t="s">
        <v>117</v>
      </c>
    </row>
  </sheetData>
  <mergeCells count="3">
    <mergeCell ref="B48:J48"/>
    <mergeCell ref="B32:J32"/>
    <mergeCell ref="B3:J3"/>
  </mergeCells>
  <hyperlinks>
    <hyperlink ref="C6" r:id="rId1" xr:uid="{0B088588-8CB9-4CAC-8C24-09DBEE15B69A}"/>
    <hyperlink ref="B34" r:id="rId2" xr:uid="{246E48C6-B5BE-4924-8F2E-5FDD1D2521FF}"/>
  </hyperlinks>
  <pageMargins left="0.7" right="0.7" top="0.75" bottom="0.75" header="0.3" footer="0.3"/>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EBE30-1304-4B3F-9606-97763F96C39E}">
  <dimension ref="D2:W41"/>
  <sheetViews>
    <sheetView showGridLines="0" tabSelected="1" zoomScale="70" zoomScaleNormal="70" workbookViewId="0">
      <selection activeCell="B1" sqref="B1:B1048576"/>
    </sheetView>
  </sheetViews>
  <sheetFormatPr defaultRowHeight="15" x14ac:dyDescent="0.25"/>
  <cols>
    <col min="4" max="4" width="24.42578125" bestFit="1" customWidth="1"/>
    <col min="5" max="5" width="33.28515625" bestFit="1" customWidth="1"/>
    <col min="6" max="6" width="33.5703125" bestFit="1" customWidth="1"/>
    <col min="7" max="7" width="26.140625" bestFit="1" customWidth="1"/>
    <col min="8" max="8" width="38.5703125" bestFit="1" customWidth="1"/>
    <col min="9" max="9" width="51.28515625" bestFit="1" customWidth="1"/>
    <col min="10" max="11" width="81.140625" bestFit="1" customWidth="1"/>
    <col min="12" max="12" width="62.5703125" bestFit="1" customWidth="1"/>
    <col min="13" max="13" width="81.140625" bestFit="1" customWidth="1"/>
    <col min="14" max="14" width="62.85546875" bestFit="1" customWidth="1"/>
    <col min="15" max="15" width="59.7109375" bestFit="1" customWidth="1"/>
    <col min="16" max="16" width="51.5703125" bestFit="1" customWidth="1"/>
    <col min="17" max="17" width="56.42578125" bestFit="1" customWidth="1"/>
    <col min="18" max="18" width="53.28515625" bestFit="1" customWidth="1"/>
    <col min="19" max="19" width="55.5703125" bestFit="1" customWidth="1"/>
    <col min="20" max="20" width="54.140625" bestFit="1" customWidth="1"/>
    <col min="21" max="21" width="27.42578125" bestFit="1" customWidth="1"/>
    <col min="22" max="22" width="34.140625" bestFit="1" customWidth="1"/>
    <col min="23" max="23" width="26.28515625" bestFit="1" customWidth="1"/>
  </cols>
  <sheetData>
    <row r="2" spans="4:5" x14ac:dyDescent="0.25">
      <c r="D2" s="2" t="s">
        <v>242</v>
      </c>
    </row>
    <row r="3" spans="4:5" x14ac:dyDescent="0.25">
      <c r="D3" t="s">
        <v>238</v>
      </c>
    </row>
    <row r="5" spans="4:5" x14ac:dyDescent="0.25">
      <c r="D5" t="s">
        <v>239</v>
      </c>
    </row>
    <row r="6" spans="4:5" x14ac:dyDescent="0.25">
      <c r="D6" s="1" t="s">
        <v>234</v>
      </c>
    </row>
    <row r="9" spans="4:5" x14ac:dyDescent="0.25">
      <c r="D9" t="s">
        <v>10</v>
      </c>
      <c r="E9" s="1" t="s">
        <v>241</v>
      </c>
    </row>
    <row r="11" spans="4:5" x14ac:dyDescent="0.25">
      <c r="D11" t="s">
        <v>12</v>
      </c>
    </row>
    <row r="12" spans="4:5" x14ac:dyDescent="0.25">
      <c r="D12" s="1" t="s">
        <v>240</v>
      </c>
    </row>
    <row r="14" spans="4:5" x14ac:dyDescent="0.25">
      <c r="D14" t="s">
        <v>35</v>
      </c>
    </row>
    <row r="15" spans="4:5" x14ac:dyDescent="0.25">
      <c r="D15" t="str">
        <f>SUBSTITUTE(D12,"[YOUR_API_KEY]","")&amp;Table1[API Key]</f>
        <v>https://youtube.googleapis.com/youtube/v3/commentThreads?part=snippet&amp;videoId=ArLcBEfKOdw&amp;key=</v>
      </c>
    </row>
    <row r="20" spans="4:23" x14ac:dyDescent="0.25">
      <c r="D20" s="2" t="s">
        <v>50</v>
      </c>
    </row>
    <row r="21" spans="4:23" x14ac:dyDescent="0.25">
      <c r="D21" t="s">
        <v>14</v>
      </c>
      <c r="E21" t="s">
        <v>15</v>
      </c>
      <c r="F21" t="s">
        <v>54</v>
      </c>
      <c r="G21" t="s">
        <v>243</v>
      </c>
      <c r="H21" t="s">
        <v>244</v>
      </c>
      <c r="I21" t="s">
        <v>245</v>
      </c>
      <c r="J21" t="s">
        <v>246</v>
      </c>
      <c r="K21" t="s">
        <v>247</v>
      </c>
      <c r="L21" t="s">
        <v>248</v>
      </c>
      <c r="M21" t="s">
        <v>249</v>
      </c>
      <c r="N21" t="s">
        <v>250</v>
      </c>
      <c r="O21" t="s">
        <v>251</v>
      </c>
      <c r="P21" t="s">
        <v>252</v>
      </c>
      <c r="Q21" t="s">
        <v>253</v>
      </c>
      <c r="R21" t="s">
        <v>254</v>
      </c>
      <c r="S21" t="s">
        <v>255</v>
      </c>
      <c r="T21" t="s">
        <v>256</v>
      </c>
      <c r="U21" t="s">
        <v>257</v>
      </c>
      <c r="V21" t="s">
        <v>258</v>
      </c>
      <c r="W21" t="s">
        <v>259</v>
      </c>
    </row>
    <row r="22" spans="4:23" x14ac:dyDescent="0.25">
      <c r="D22" t="s">
        <v>260</v>
      </c>
      <c r="E22" t="s">
        <v>261</v>
      </c>
      <c r="F22" t="s">
        <v>262</v>
      </c>
      <c r="G22" t="s">
        <v>263</v>
      </c>
      <c r="H22" t="s">
        <v>262</v>
      </c>
      <c r="I22" t="s">
        <v>263</v>
      </c>
      <c r="J22" t="s">
        <v>264</v>
      </c>
      <c r="K22" t="s">
        <v>265</v>
      </c>
      <c r="L22" t="s">
        <v>266</v>
      </c>
      <c r="M22" t="s">
        <v>267</v>
      </c>
      <c r="N22" t="s">
        <v>268</v>
      </c>
      <c r="O22" t="s">
        <v>32</v>
      </c>
      <c r="P22" t="b">
        <v>1</v>
      </c>
      <c r="Q22" t="s">
        <v>34</v>
      </c>
      <c r="R22">
        <v>0</v>
      </c>
      <c r="S22" t="s">
        <v>269</v>
      </c>
      <c r="T22" t="s">
        <v>269</v>
      </c>
      <c r="U22" t="b">
        <v>1</v>
      </c>
      <c r="V22">
        <v>0</v>
      </c>
      <c r="W22" t="b">
        <v>1</v>
      </c>
    </row>
    <row r="23" spans="4:23" x14ac:dyDescent="0.25">
      <c r="D23" t="s">
        <v>260</v>
      </c>
      <c r="E23" t="s">
        <v>270</v>
      </c>
      <c r="F23" t="s">
        <v>271</v>
      </c>
      <c r="G23" t="s">
        <v>263</v>
      </c>
      <c r="H23" t="s">
        <v>271</v>
      </c>
      <c r="I23" t="s">
        <v>263</v>
      </c>
      <c r="J23" t="s">
        <v>272</v>
      </c>
      <c r="K23" t="s">
        <v>273</v>
      </c>
      <c r="L23" t="s">
        <v>274</v>
      </c>
      <c r="M23" t="s">
        <v>275</v>
      </c>
      <c r="N23" t="s">
        <v>276</v>
      </c>
      <c r="O23" t="s">
        <v>32</v>
      </c>
      <c r="P23" t="b">
        <v>1</v>
      </c>
      <c r="Q23" t="s">
        <v>34</v>
      </c>
      <c r="R23">
        <v>0</v>
      </c>
      <c r="S23" t="s">
        <v>277</v>
      </c>
      <c r="T23" t="s">
        <v>277</v>
      </c>
      <c r="U23" t="b">
        <v>1</v>
      </c>
      <c r="V23">
        <v>0</v>
      </c>
      <c r="W23" t="b">
        <v>1</v>
      </c>
    </row>
    <row r="24" spans="4:23" x14ac:dyDescent="0.25">
      <c r="D24" t="s">
        <v>260</v>
      </c>
      <c r="E24" t="s">
        <v>278</v>
      </c>
      <c r="F24" t="s">
        <v>279</v>
      </c>
      <c r="G24" t="s">
        <v>263</v>
      </c>
      <c r="H24" t="s">
        <v>279</v>
      </c>
      <c r="I24" t="s">
        <v>263</v>
      </c>
      <c r="J24" t="s">
        <v>280</v>
      </c>
      <c r="K24" t="s">
        <v>280</v>
      </c>
      <c r="L24" t="s">
        <v>281</v>
      </c>
      <c r="M24" t="s">
        <v>282</v>
      </c>
      <c r="N24" t="s">
        <v>283</v>
      </c>
      <c r="O24" t="s">
        <v>32</v>
      </c>
      <c r="P24" t="b">
        <v>1</v>
      </c>
      <c r="Q24" t="s">
        <v>34</v>
      </c>
      <c r="R24">
        <v>0</v>
      </c>
      <c r="S24" t="s">
        <v>284</v>
      </c>
      <c r="T24" t="s">
        <v>284</v>
      </c>
      <c r="U24" t="b">
        <v>1</v>
      </c>
      <c r="V24">
        <v>0</v>
      </c>
      <c r="W24" t="b">
        <v>1</v>
      </c>
    </row>
    <row r="25" spans="4:23" x14ac:dyDescent="0.25">
      <c r="D25" t="s">
        <v>260</v>
      </c>
      <c r="E25" t="s">
        <v>285</v>
      </c>
      <c r="F25" t="s">
        <v>286</v>
      </c>
      <c r="G25" t="s">
        <v>263</v>
      </c>
      <c r="H25" t="s">
        <v>286</v>
      </c>
      <c r="I25" t="s">
        <v>263</v>
      </c>
      <c r="J25" t="s">
        <v>287</v>
      </c>
      <c r="K25" t="s">
        <v>287</v>
      </c>
      <c r="L25" t="s">
        <v>288</v>
      </c>
      <c r="M25" t="s">
        <v>289</v>
      </c>
      <c r="N25" t="s">
        <v>290</v>
      </c>
      <c r="O25" t="s">
        <v>32</v>
      </c>
      <c r="P25" t="b">
        <v>1</v>
      </c>
      <c r="Q25" t="s">
        <v>34</v>
      </c>
      <c r="R25">
        <v>0</v>
      </c>
      <c r="S25" t="s">
        <v>291</v>
      </c>
      <c r="T25" t="s">
        <v>291</v>
      </c>
      <c r="U25" t="b">
        <v>1</v>
      </c>
      <c r="V25">
        <v>0</v>
      </c>
      <c r="W25" t="b">
        <v>1</v>
      </c>
    </row>
    <row r="26" spans="4:23" x14ac:dyDescent="0.25">
      <c r="D26" t="s">
        <v>260</v>
      </c>
      <c r="E26" t="s">
        <v>292</v>
      </c>
      <c r="F26" t="s">
        <v>293</v>
      </c>
      <c r="G26" t="s">
        <v>263</v>
      </c>
      <c r="H26" t="s">
        <v>293</v>
      </c>
      <c r="I26" t="s">
        <v>263</v>
      </c>
      <c r="J26" t="s">
        <v>294</v>
      </c>
      <c r="K26" t="s">
        <v>294</v>
      </c>
      <c r="L26" t="s">
        <v>281</v>
      </c>
      <c r="M26" t="s">
        <v>282</v>
      </c>
      <c r="N26" t="s">
        <v>283</v>
      </c>
      <c r="O26" t="s">
        <v>32</v>
      </c>
      <c r="P26" t="b">
        <v>1</v>
      </c>
      <c r="Q26" t="s">
        <v>34</v>
      </c>
      <c r="R26">
        <v>0</v>
      </c>
      <c r="S26" t="s">
        <v>295</v>
      </c>
      <c r="T26" t="s">
        <v>295</v>
      </c>
      <c r="U26" t="b">
        <v>1</v>
      </c>
      <c r="V26">
        <v>0</v>
      </c>
      <c r="W26" t="b">
        <v>1</v>
      </c>
    </row>
    <row r="27" spans="4:23" x14ac:dyDescent="0.25">
      <c r="D27" t="s">
        <v>260</v>
      </c>
      <c r="E27" t="s">
        <v>296</v>
      </c>
      <c r="F27" t="s">
        <v>297</v>
      </c>
      <c r="G27" t="s">
        <v>263</v>
      </c>
      <c r="H27" t="s">
        <v>297</v>
      </c>
      <c r="I27" t="s">
        <v>263</v>
      </c>
      <c r="J27" t="s">
        <v>298</v>
      </c>
      <c r="K27" t="s">
        <v>298</v>
      </c>
      <c r="L27" t="s">
        <v>281</v>
      </c>
      <c r="M27" t="s">
        <v>282</v>
      </c>
      <c r="N27" t="s">
        <v>283</v>
      </c>
      <c r="O27" t="s">
        <v>32</v>
      </c>
      <c r="P27" t="b">
        <v>1</v>
      </c>
      <c r="Q27" t="s">
        <v>34</v>
      </c>
      <c r="R27">
        <v>0</v>
      </c>
      <c r="S27" t="s">
        <v>299</v>
      </c>
      <c r="T27" t="s">
        <v>299</v>
      </c>
      <c r="U27" t="b">
        <v>1</v>
      </c>
      <c r="V27">
        <v>0</v>
      </c>
      <c r="W27" t="b">
        <v>1</v>
      </c>
    </row>
    <row r="28" spans="4:23" x14ac:dyDescent="0.25">
      <c r="D28" t="s">
        <v>260</v>
      </c>
      <c r="E28" t="s">
        <v>300</v>
      </c>
      <c r="F28" t="s">
        <v>301</v>
      </c>
      <c r="G28" t="s">
        <v>263</v>
      </c>
      <c r="H28" t="s">
        <v>301</v>
      </c>
      <c r="I28" t="s">
        <v>263</v>
      </c>
      <c r="J28" t="s">
        <v>302</v>
      </c>
      <c r="K28" t="s">
        <v>302</v>
      </c>
      <c r="L28" t="s">
        <v>303</v>
      </c>
      <c r="M28" t="s">
        <v>304</v>
      </c>
      <c r="N28" t="s">
        <v>305</v>
      </c>
      <c r="O28" t="s">
        <v>32</v>
      </c>
      <c r="P28" t="b">
        <v>1</v>
      </c>
      <c r="Q28" t="s">
        <v>34</v>
      </c>
      <c r="R28">
        <v>0</v>
      </c>
      <c r="S28" t="s">
        <v>306</v>
      </c>
      <c r="T28" t="s">
        <v>306</v>
      </c>
      <c r="U28" t="b">
        <v>1</v>
      </c>
      <c r="V28">
        <v>0</v>
      </c>
      <c r="W28" t="b">
        <v>1</v>
      </c>
    </row>
    <row r="29" spans="4:23" x14ac:dyDescent="0.25">
      <c r="D29" t="s">
        <v>260</v>
      </c>
      <c r="E29" t="s">
        <v>307</v>
      </c>
      <c r="F29" t="s">
        <v>308</v>
      </c>
      <c r="G29" t="s">
        <v>263</v>
      </c>
      <c r="H29" t="s">
        <v>308</v>
      </c>
      <c r="I29" t="s">
        <v>263</v>
      </c>
      <c r="J29" t="s">
        <v>309</v>
      </c>
      <c r="K29" t="s">
        <v>309</v>
      </c>
      <c r="L29" t="s">
        <v>310</v>
      </c>
      <c r="M29" t="s">
        <v>311</v>
      </c>
      <c r="N29" t="s">
        <v>312</v>
      </c>
      <c r="O29" t="s">
        <v>32</v>
      </c>
      <c r="P29" t="b">
        <v>1</v>
      </c>
      <c r="Q29" t="s">
        <v>34</v>
      </c>
      <c r="R29">
        <v>0</v>
      </c>
      <c r="S29" t="s">
        <v>313</v>
      </c>
      <c r="T29" t="s">
        <v>313</v>
      </c>
      <c r="U29" t="b">
        <v>1</v>
      </c>
      <c r="V29">
        <v>0</v>
      </c>
      <c r="W29" t="b">
        <v>1</v>
      </c>
    </row>
    <row r="30" spans="4:23" x14ac:dyDescent="0.25">
      <c r="D30" t="s">
        <v>260</v>
      </c>
      <c r="E30" t="s">
        <v>314</v>
      </c>
      <c r="F30" t="s">
        <v>315</v>
      </c>
      <c r="G30" t="s">
        <v>263</v>
      </c>
      <c r="H30" t="s">
        <v>315</v>
      </c>
      <c r="I30" t="s">
        <v>263</v>
      </c>
      <c r="J30" t="s">
        <v>316</v>
      </c>
      <c r="K30" t="s">
        <v>316</v>
      </c>
      <c r="L30" t="s">
        <v>317</v>
      </c>
      <c r="M30" t="s">
        <v>318</v>
      </c>
      <c r="N30" t="s">
        <v>319</v>
      </c>
      <c r="O30" t="s">
        <v>32</v>
      </c>
      <c r="P30" t="b">
        <v>1</v>
      </c>
      <c r="Q30" t="s">
        <v>34</v>
      </c>
      <c r="R30">
        <v>2</v>
      </c>
      <c r="S30" t="s">
        <v>320</v>
      </c>
      <c r="T30" t="s">
        <v>320</v>
      </c>
      <c r="U30" t="b">
        <v>1</v>
      </c>
      <c r="V30">
        <v>0</v>
      </c>
      <c r="W30" t="b">
        <v>1</v>
      </c>
    </row>
    <row r="31" spans="4:23" x14ac:dyDescent="0.25">
      <c r="D31" t="s">
        <v>260</v>
      </c>
      <c r="E31" t="s">
        <v>321</v>
      </c>
      <c r="F31" t="s">
        <v>322</v>
      </c>
      <c r="G31" t="s">
        <v>263</v>
      </c>
      <c r="H31" t="s">
        <v>322</v>
      </c>
      <c r="I31" t="s">
        <v>263</v>
      </c>
      <c r="J31" t="s">
        <v>323</v>
      </c>
      <c r="K31" t="s">
        <v>323</v>
      </c>
      <c r="L31" t="s">
        <v>324</v>
      </c>
      <c r="M31" t="s">
        <v>325</v>
      </c>
      <c r="N31" t="s">
        <v>326</v>
      </c>
      <c r="O31" t="s">
        <v>32</v>
      </c>
      <c r="P31" t="b">
        <v>1</v>
      </c>
      <c r="Q31" t="s">
        <v>34</v>
      </c>
      <c r="R31">
        <v>0</v>
      </c>
      <c r="S31" t="s">
        <v>327</v>
      </c>
      <c r="T31" t="s">
        <v>327</v>
      </c>
      <c r="U31" t="b">
        <v>1</v>
      </c>
      <c r="V31">
        <v>0</v>
      </c>
      <c r="W31" t="b">
        <v>1</v>
      </c>
    </row>
    <row r="32" spans="4:23" x14ac:dyDescent="0.25">
      <c r="D32" t="s">
        <v>260</v>
      </c>
      <c r="E32" t="s">
        <v>328</v>
      </c>
      <c r="F32" t="s">
        <v>329</v>
      </c>
      <c r="G32" t="s">
        <v>263</v>
      </c>
      <c r="H32" t="s">
        <v>329</v>
      </c>
      <c r="I32" t="s">
        <v>263</v>
      </c>
      <c r="J32" t="s">
        <v>330</v>
      </c>
      <c r="K32" t="s">
        <v>330</v>
      </c>
      <c r="L32" t="s">
        <v>331</v>
      </c>
      <c r="M32" t="s">
        <v>332</v>
      </c>
      <c r="N32" t="s">
        <v>333</v>
      </c>
      <c r="O32" t="s">
        <v>32</v>
      </c>
      <c r="P32" t="b">
        <v>1</v>
      </c>
      <c r="Q32" t="s">
        <v>34</v>
      </c>
      <c r="R32">
        <v>1</v>
      </c>
      <c r="S32" t="s">
        <v>334</v>
      </c>
      <c r="T32" t="s">
        <v>334</v>
      </c>
      <c r="U32" t="b">
        <v>1</v>
      </c>
      <c r="V32">
        <v>0</v>
      </c>
      <c r="W32" t="b">
        <v>1</v>
      </c>
    </row>
    <row r="33" spans="4:23" x14ac:dyDescent="0.25">
      <c r="D33" t="s">
        <v>260</v>
      </c>
      <c r="E33" t="s">
        <v>335</v>
      </c>
      <c r="F33" t="s">
        <v>336</v>
      </c>
      <c r="G33" t="s">
        <v>263</v>
      </c>
      <c r="H33" t="s">
        <v>336</v>
      </c>
      <c r="I33" t="s">
        <v>263</v>
      </c>
      <c r="J33" t="s">
        <v>337</v>
      </c>
      <c r="K33" t="s">
        <v>337</v>
      </c>
      <c r="L33" t="s">
        <v>338</v>
      </c>
      <c r="M33" t="s">
        <v>339</v>
      </c>
      <c r="N33" t="s">
        <v>340</v>
      </c>
      <c r="O33" t="s">
        <v>32</v>
      </c>
      <c r="P33" t="b">
        <v>1</v>
      </c>
      <c r="Q33" t="s">
        <v>34</v>
      </c>
      <c r="R33">
        <v>1</v>
      </c>
      <c r="S33" t="s">
        <v>341</v>
      </c>
      <c r="T33" t="s">
        <v>341</v>
      </c>
      <c r="U33" t="b">
        <v>1</v>
      </c>
      <c r="V33">
        <v>0</v>
      </c>
      <c r="W33" t="b">
        <v>1</v>
      </c>
    </row>
    <row r="34" spans="4:23" x14ac:dyDescent="0.25">
      <c r="D34" t="s">
        <v>260</v>
      </c>
      <c r="E34" t="s">
        <v>342</v>
      </c>
      <c r="F34" t="s">
        <v>343</v>
      </c>
      <c r="G34" t="s">
        <v>263</v>
      </c>
      <c r="H34" t="s">
        <v>343</v>
      </c>
      <c r="I34" t="s">
        <v>263</v>
      </c>
      <c r="J34" t="s">
        <v>344</v>
      </c>
      <c r="K34" t="s">
        <v>344</v>
      </c>
      <c r="L34" t="s">
        <v>345</v>
      </c>
      <c r="M34" t="s">
        <v>346</v>
      </c>
      <c r="N34" t="s">
        <v>347</v>
      </c>
      <c r="O34" t="s">
        <v>32</v>
      </c>
      <c r="P34" t="b">
        <v>1</v>
      </c>
      <c r="Q34" t="s">
        <v>34</v>
      </c>
      <c r="R34">
        <v>4</v>
      </c>
      <c r="S34" t="s">
        <v>348</v>
      </c>
      <c r="T34" t="s">
        <v>348</v>
      </c>
      <c r="U34" t="b">
        <v>1</v>
      </c>
      <c r="V34">
        <v>0</v>
      </c>
      <c r="W34" t="b">
        <v>1</v>
      </c>
    </row>
    <row r="35" spans="4:23" x14ac:dyDescent="0.25">
      <c r="D35" t="s">
        <v>260</v>
      </c>
      <c r="E35" t="s">
        <v>349</v>
      </c>
      <c r="F35" t="s">
        <v>350</v>
      </c>
      <c r="G35" t="s">
        <v>263</v>
      </c>
      <c r="H35" t="s">
        <v>350</v>
      </c>
      <c r="I35" t="s">
        <v>263</v>
      </c>
      <c r="J35" t="s">
        <v>351</v>
      </c>
      <c r="K35" t="s">
        <v>351</v>
      </c>
      <c r="L35" t="s">
        <v>352</v>
      </c>
      <c r="M35" t="s">
        <v>353</v>
      </c>
      <c r="N35" t="s">
        <v>354</v>
      </c>
      <c r="O35" t="s">
        <v>32</v>
      </c>
      <c r="P35" t="b">
        <v>1</v>
      </c>
      <c r="Q35" t="s">
        <v>34</v>
      </c>
      <c r="R35">
        <v>1</v>
      </c>
      <c r="S35" t="s">
        <v>355</v>
      </c>
      <c r="T35" t="s">
        <v>355</v>
      </c>
      <c r="U35" t="b">
        <v>1</v>
      </c>
      <c r="V35">
        <v>0</v>
      </c>
      <c r="W35" t="b">
        <v>1</v>
      </c>
    </row>
    <row r="36" spans="4:23" x14ac:dyDescent="0.25">
      <c r="D36" t="s">
        <v>260</v>
      </c>
      <c r="E36" t="s">
        <v>356</v>
      </c>
      <c r="F36" t="s">
        <v>357</v>
      </c>
      <c r="G36" t="s">
        <v>263</v>
      </c>
      <c r="H36" t="s">
        <v>357</v>
      </c>
      <c r="I36" t="s">
        <v>263</v>
      </c>
      <c r="J36" t="s">
        <v>358</v>
      </c>
      <c r="K36" t="s">
        <v>359</v>
      </c>
      <c r="L36" t="s">
        <v>360</v>
      </c>
      <c r="M36" t="s">
        <v>361</v>
      </c>
      <c r="N36" t="s">
        <v>362</v>
      </c>
      <c r="O36" t="s">
        <v>32</v>
      </c>
      <c r="P36" t="b">
        <v>1</v>
      </c>
      <c r="Q36" t="s">
        <v>34</v>
      </c>
      <c r="R36">
        <v>3</v>
      </c>
      <c r="S36" t="s">
        <v>363</v>
      </c>
      <c r="T36" t="s">
        <v>363</v>
      </c>
      <c r="U36" t="b">
        <v>1</v>
      </c>
      <c r="V36">
        <v>0</v>
      </c>
      <c r="W36" t="b">
        <v>1</v>
      </c>
    </row>
    <row r="37" spans="4:23" x14ac:dyDescent="0.25">
      <c r="D37" t="s">
        <v>260</v>
      </c>
      <c r="E37" t="s">
        <v>364</v>
      </c>
      <c r="F37" t="s">
        <v>365</v>
      </c>
      <c r="G37" t="s">
        <v>263</v>
      </c>
      <c r="H37" t="s">
        <v>365</v>
      </c>
      <c r="I37" t="s">
        <v>263</v>
      </c>
      <c r="J37" t="s">
        <v>366</v>
      </c>
      <c r="K37" t="s">
        <v>366</v>
      </c>
      <c r="L37" t="s">
        <v>367</v>
      </c>
      <c r="M37" t="s">
        <v>368</v>
      </c>
      <c r="N37" t="s">
        <v>369</v>
      </c>
      <c r="O37" t="s">
        <v>32</v>
      </c>
      <c r="P37" t="b">
        <v>1</v>
      </c>
      <c r="Q37" t="s">
        <v>34</v>
      </c>
      <c r="R37">
        <v>0</v>
      </c>
      <c r="S37" t="s">
        <v>370</v>
      </c>
      <c r="T37" t="s">
        <v>370</v>
      </c>
      <c r="U37" t="b">
        <v>1</v>
      </c>
      <c r="V37">
        <v>0</v>
      </c>
      <c r="W37" t="b">
        <v>1</v>
      </c>
    </row>
    <row r="38" spans="4:23" x14ac:dyDescent="0.25">
      <c r="D38" t="s">
        <v>260</v>
      </c>
      <c r="E38" t="s">
        <v>371</v>
      </c>
      <c r="F38" t="s">
        <v>372</v>
      </c>
      <c r="G38" t="s">
        <v>263</v>
      </c>
      <c r="H38" t="s">
        <v>372</v>
      </c>
      <c r="I38" t="s">
        <v>263</v>
      </c>
      <c r="J38" t="s">
        <v>373</v>
      </c>
      <c r="K38" t="s">
        <v>373</v>
      </c>
      <c r="L38" t="s">
        <v>374</v>
      </c>
      <c r="M38" t="s">
        <v>375</v>
      </c>
      <c r="N38" t="s">
        <v>376</v>
      </c>
      <c r="O38" t="s">
        <v>32</v>
      </c>
      <c r="P38" t="b">
        <v>1</v>
      </c>
      <c r="Q38" t="s">
        <v>34</v>
      </c>
      <c r="R38">
        <v>3</v>
      </c>
      <c r="S38" t="s">
        <v>377</v>
      </c>
      <c r="T38" t="s">
        <v>377</v>
      </c>
      <c r="U38" t="b">
        <v>1</v>
      </c>
      <c r="V38">
        <v>0</v>
      </c>
      <c r="W38" t="b">
        <v>1</v>
      </c>
    </row>
    <row r="39" spans="4:23" x14ac:dyDescent="0.25">
      <c r="D39" t="s">
        <v>260</v>
      </c>
      <c r="E39" t="s">
        <v>378</v>
      </c>
      <c r="F39" t="s">
        <v>379</v>
      </c>
      <c r="G39" t="s">
        <v>263</v>
      </c>
      <c r="H39" t="s">
        <v>379</v>
      </c>
      <c r="I39" t="s">
        <v>263</v>
      </c>
      <c r="J39" t="s">
        <v>380</v>
      </c>
      <c r="K39" t="s">
        <v>380</v>
      </c>
      <c r="L39" t="s">
        <v>381</v>
      </c>
      <c r="M39" t="s">
        <v>382</v>
      </c>
      <c r="N39" t="s">
        <v>383</v>
      </c>
      <c r="O39" t="s">
        <v>32</v>
      </c>
      <c r="P39" t="b">
        <v>1</v>
      </c>
      <c r="Q39" t="s">
        <v>34</v>
      </c>
      <c r="R39">
        <v>3</v>
      </c>
      <c r="S39" t="s">
        <v>384</v>
      </c>
      <c r="T39" t="s">
        <v>384</v>
      </c>
      <c r="U39" t="b">
        <v>1</v>
      </c>
      <c r="V39">
        <v>0</v>
      </c>
      <c r="W39" t="b">
        <v>1</v>
      </c>
    </row>
    <row r="40" spans="4:23" x14ac:dyDescent="0.25">
      <c r="D40" t="s">
        <v>260</v>
      </c>
      <c r="E40" t="s">
        <v>385</v>
      </c>
      <c r="F40" t="s">
        <v>386</v>
      </c>
      <c r="G40" t="s">
        <v>263</v>
      </c>
      <c r="H40" t="s">
        <v>386</v>
      </c>
      <c r="I40" t="s">
        <v>263</v>
      </c>
      <c r="J40" t="s">
        <v>387</v>
      </c>
      <c r="K40" t="s">
        <v>387</v>
      </c>
      <c r="L40" t="s">
        <v>388</v>
      </c>
      <c r="M40" t="s">
        <v>389</v>
      </c>
      <c r="N40" t="s">
        <v>390</v>
      </c>
      <c r="O40" t="s">
        <v>32</v>
      </c>
      <c r="P40" t="b">
        <v>1</v>
      </c>
      <c r="Q40" t="s">
        <v>34</v>
      </c>
      <c r="R40">
        <v>10</v>
      </c>
      <c r="S40" t="s">
        <v>391</v>
      </c>
      <c r="T40" t="s">
        <v>391</v>
      </c>
      <c r="U40" t="b">
        <v>1</v>
      </c>
      <c r="V40">
        <v>0</v>
      </c>
      <c r="W40" t="b">
        <v>1</v>
      </c>
    </row>
    <row r="41" spans="4:23" x14ac:dyDescent="0.25">
      <c r="D41" t="s">
        <v>260</v>
      </c>
      <c r="E41" t="s">
        <v>392</v>
      </c>
      <c r="F41" t="s">
        <v>393</v>
      </c>
      <c r="G41" t="s">
        <v>263</v>
      </c>
      <c r="H41" t="s">
        <v>393</v>
      </c>
      <c r="I41" t="s">
        <v>263</v>
      </c>
      <c r="J41" t="s">
        <v>394</v>
      </c>
      <c r="K41" t="s">
        <v>394</v>
      </c>
      <c r="L41" t="s">
        <v>395</v>
      </c>
      <c r="M41" t="s">
        <v>396</v>
      </c>
      <c r="N41" t="s">
        <v>397</v>
      </c>
      <c r="O41" t="s">
        <v>32</v>
      </c>
      <c r="P41" t="b">
        <v>1</v>
      </c>
      <c r="Q41" t="s">
        <v>34</v>
      </c>
      <c r="R41">
        <v>3</v>
      </c>
      <c r="S41" t="s">
        <v>398</v>
      </c>
      <c r="T41" t="s">
        <v>398</v>
      </c>
      <c r="U41" t="b">
        <v>1</v>
      </c>
      <c r="V41">
        <v>0</v>
      </c>
      <c r="W41" t="b">
        <v>1</v>
      </c>
    </row>
  </sheetData>
  <hyperlinks>
    <hyperlink ref="D6" r:id="rId1" xr:uid="{9B4CA3A7-E9D9-4279-8EDC-202834573B32}"/>
    <hyperlink ref="D12" r:id="rId2" xr:uid="{214127D5-E061-4034-B86C-BF1A0317779F}"/>
    <hyperlink ref="E9" r:id="rId3" xr:uid="{281EA099-70BF-477C-9BA0-C14485C40314}"/>
  </hyperlinks>
  <pageMargins left="0.7" right="0.7" top="0.75" bottom="0.75" header="0.3" footer="0.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579D8-12DE-402E-9D95-3B470AFB1195}">
  <dimension ref="B4:M74"/>
  <sheetViews>
    <sheetView showGridLines="0" topLeftCell="A40" zoomScale="55" zoomScaleNormal="55" workbookViewId="0">
      <selection activeCell="C48" sqref="C48"/>
    </sheetView>
  </sheetViews>
  <sheetFormatPr defaultRowHeight="15" x14ac:dyDescent="0.25"/>
  <cols>
    <col min="2" max="2" width="21.140625" bestFit="1" customWidth="1"/>
    <col min="3" max="3" width="32.140625" bestFit="1" customWidth="1"/>
    <col min="4" max="4" width="13.42578125" bestFit="1" customWidth="1"/>
    <col min="5" max="5" width="30.42578125" bestFit="1" customWidth="1"/>
    <col min="6" max="6" width="28.28515625" bestFit="1" customWidth="1"/>
    <col min="7" max="7" width="36.5703125" bestFit="1" customWidth="1"/>
    <col min="8" max="8" width="81.140625" bestFit="1" customWidth="1"/>
    <col min="9" max="9" width="29.5703125" bestFit="1" customWidth="1"/>
    <col min="10" max="10" width="30.5703125" bestFit="1" customWidth="1"/>
    <col min="11" max="11" width="38.85546875" bestFit="1" customWidth="1"/>
    <col min="12" max="13" width="30.5703125" bestFit="1" customWidth="1"/>
  </cols>
  <sheetData>
    <row r="4" spans="2:3" x14ac:dyDescent="0.25">
      <c r="B4" t="s">
        <v>10</v>
      </c>
      <c r="C4" s="1" t="s">
        <v>227</v>
      </c>
    </row>
    <row r="8" spans="2:3" x14ac:dyDescent="0.25">
      <c r="B8" t="s">
        <v>399</v>
      </c>
    </row>
    <row r="11" spans="2:3" x14ac:dyDescent="0.25">
      <c r="B11" t="s">
        <v>12</v>
      </c>
    </row>
    <row r="12" spans="2:3" x14ac:dyDescent="0.25">
      <c r="B12" s="1" t="s">
        <v>400</v>
      </c>
    </row>
    <row r="14" spans="2:3" x14ac:dyDescent="0.25">
      <c r="B14" t="s">
        <v>35</v>
      </c>
    </row>
    <row r="15" spans="2:3" x14ac:dyDescent="0.25">
      <c r="B15" t="str">
        <f>SUBSTITUTE(B12,"[YOUR_API_KEY]","")&amp;Table1[API Key]</f>
        <v>https://youtube.googleapis.com/youtube/v3/search?part=snippet&amp;q=Rammstein&amp;key=</v>
      </c>
    </row>
    <row r="18" spans="2:6" x14ac:dyDescent="0.25">
      <c r="B18" t="s">
        <v>401</v>
      </c>
    </row>
    <row r="21" spans="2:6" x14ac:dyDescent="0.25">
      <c r="B21" s="4" t="s">
        <v>442</v>
      </c>
      <c r="C21" s="4"/>
      <c r="D21" s="4"/>
      <c r="E21" s="4"/>
      <c r="F21" s="4"/>
    </row>
    <row r="22" spans="2:6" x14ac:dyDescent="0.25">
      <c r="B22" s="2" t="s">
        <v>50</v>
      </c>
    </row>
    <row r="23" spans="2:6" x14ac:dyDescent="0.25">
      <c r="B23" t="s">
        <v>38</v>
      </c>
      <c r="C23" t="s">
        <v>39</v>
      </c>
    </row>
    <row r="24" spans="2:6" x14ac:dyDescent="0.25">
      <c r="B24" t="s">
        <v>402</v>
      </c>
      <c r="C24" t="s">
        <v>403</v>
      </c>
    </row>
    <row r="25" spans="2:6" x14ac:dyDescent="0.25">
      <c r="B25" t="s">
        <v>404</v>
      </c>
      <c r="C25" t="s">
        <v>441</v>
      </c>
    </row>
    <row r="26" spans="2:6" x14ac:dyDescent="0.25">
      <c r="B26" t="s">
        <v>405</v>
      </c>
      <c r="C26" t="s">
        <v>406</v>
      </c>
    </row>
    <row r="27" spans="2:6" x14ac:dyDescent="0.25">
      <c r="B27" t="s">
        <v>407</v>
      </c>
      <c r="C27" t="s">
        <v>408</v>
      </c>
    </row>
    <row r="28" spans="2:6" x14ac:dyDescent="0.25">
      <c r="B28" t="s">
        <v>409</v>
      </c>
      <c r="C28" t="s">
        <v>32</v>
      </c>
    </row>
    <row r="29" spans="2:6" x14ac:dyDescent="0.25">
      <c r="B29" t="s">
        <v>410</v>
      </c>
      <c r="C29" t="s">
        <v>220</v>
      </c>
    </row>
    <row r="34" spans="2:13" x14ac:dyDescent="0.25">
      <c r="B34" t="s">
        <v>14</v>
      </c>
      <c r="C34" t="s">
        <v>15</v>
      </c>
      <c r="D34" t="s">
        <v>16</v>
      </c>
      <c r="E34" t="s">
        <v>411</v>
      </c>
      <c r="F34" t="s">
        <v>18</v>
      </c>
      <c r="G34" t="s">
        <v>19</v>
      </c>
      <c r="H34" t="s">
        <v>20</v>
      </c>
      <c r="I34" t="s">
        <v>21</v>
      </c>
      <c r="J34" t="s">
        <v>22</v>
      </c>
      <c r="K34" t="s">
        <v>23</v>
      </c>
      <c r="L34" t="s">
        <v>24</v>
      </c>
      <c r="M34" t="s">
        <v>25</v>
      </c>
    </row>
    <row r="35" spans="2:13" x14ac:dyDescent="0.25">
      <c r="B35" t="s">
        <v>26</v>
      </c>
      <c r="C35" t="s">
        <v>412</v>
      </c>
      <c r="D35" t="s">
        <v>92</v>
      </c>
      <c r="E35" t="s">
        <v>413</v>
      </c>
      <c r="F35" t="s">
        <v>414</v>
      </c>
      <c r="G35" t="s">
        <v>415</v>
      </c>
      <c r="H35" t="s">
        <v>416</v>
      </c>
      <c r="I35" t="s">
        <v>417</v>
      </c>
      <c r="J35" t="s">
        <v>32</v>
      </c>
      <c r="K35" t="s">
        <v>418</v>
      </c>
      <c r="L35" t="s">
        <v>34</v>
      </c>
      <c r="M35" t="s">
        <v>414</v>
      </c>
    </row>
    <row r="36" spans="2:13" x14ac:dyDescent="0.25">
      <c r="B36" t="s">
        <v>26</v>
      </c>
      <c r="C36" t="s">
        <v>419</v>
      </c>
      <c r="D36" t="s">
        <v>92</v>
      </c>
      <c r="E36" t="s">
        <v>420</v>
      </c>
      <c r="F36" t="s">
        <v>421</v>
      </c>
      <c r="G36" t="s">
        <v>415</v>
      </c>
      <c r="H36" t="s">
        <v>422</v>
      </c>
      <c r="I36" t="s">
        <v>423</v>
      </c>
      <c r="J36" t="s">
        <v>32</v>
      </c>
      <c r="K36" t="s">
        <v>418</v>
      </c>
      <c r="L36" t="s">
        <v>34</v>
      </c>
      <c r="M36" t="s">
        <v>421</v>
      </c>
    </row>
    <row r="37" spans="2:13" x14ac:dyDescent="0.25">
      <c r="B37" t="s">
        <v>26</v>
      </c>
      <c r="C37" t="s">
        <v>424</v>
      </c>
      <c r="D37" t="s">
        <v>92</v>
      </c>
      <c r="E37" t="s">
        <v>425</v>
      </c>
      <c r="F37" t="s">
        <v>426</v>
      </c>
      <c r="G37" t="s">
        <v>427</v>
      </c>
      <c r="H37" t="s">
        <v>428</v>
      </c>
      <c r="I37" t="s">
        <v>429</v>
      </c>
      <c r="J37" t="s">
        <v>32</v>
      </c>
      <c r="K37" t="s">
        <v>430</v>
      </c>
      <c r="L37" t="s">
        <v>34</v>
      </c>
      <c r="M37" t="s">
        <v>426</v>
      </c>
    </row>
    <row r="38" spans="2:13" x14ac:dyDescent="0.25">
      <c r="B38" t="s">
        <v>26</v>
      </c>
      <c r="C38" t="s">
        <v>431</v>
      </c>
      <c r="D38" t="s">
        <v>92</v>
      </c>
      <c r="E38" t="s">
        <v>432</v>
      </c>
      <c r="F38" t="s">
        <v>433</v>
      </c>
      <c r="G38" t="s">
        <v>415</v>
      </c>
      <c r="H38" t="s">
        <v>434</v>
      </c>
      <c r="I38" t="s">
        <v>435</v>
      </c>
      <c r="J38" t="s">
        <v>32</v>
      </c>
      <c r="K38" t="s">
        <v>418</v>
      </c>
      <c r="L38" t="s">
        <v>34</v>
      </c>
      <c r="M38" t="s">
        <v>433</v>
      </c>
    </row>
    <row r="39" spans="2:13" x14ac:dyDescent="0.25">
      <c r="B39" t="s">
        <v>26</v>
      </c>
      <c r="C39" t="s">
        <v>436</v>
      </c>
      <c r="D39" t="s">
        <v>92</v>
      </c>
      <c r="E39" t="s">
        <v>437</v>
      </c>
      <c r="F39" t="s">
        <v>438</v>
      </c>
      <c r="G39" t="s">
        <v>415</v>
      </c>
      <c r="H39" t="s">
        <v>439</v>
      </c>
      <c r="I39" t="s">
        <v>440</v>
      </c>
      <c r="J39" t="s">
        <v>32</v>
      </c>
      <c r="K39" t="s">
        <v>418</v>
      </c>
      <c r="L39" t="s">
        <v>34</v>
      </c>
      <c r="M39" t="s">
        <v>438</v>
      </c>
    </row>
    <row r="42" spans="2:13" x14ac:dyDescent="0.25">
      <c r="B42" s="4" t="s">
        <v>443</v>
      </c>
      <c r="C42" s="4"/>
      <c r="D42" s="4"/>
      <c r="E42" s="4"/>
      <c r="F42" s="4"/>
    </row>
    <row r="44" spans="2:13" x14ac:dyDescent="0.25">
      <c r="B44" t="s">
        <v>444</v>
      </c>
    </row>
    <row r="45" spans="2:13" x14ac:dyDescent="0.25">
      <c r="B45" t="s">
        <v>470</v>
      </c>
    </row>
    <row r="47" spans="2:13" x14ac:dyDescent="0.25">
      <c r="B47" t="s">
        <v>12</v>
      </c>
    </row>
    <row r="48" spans="2:13" x14ac:dyDescent="0.25">
      <c r="B48" s="1" t="str">
        <f>"https://youtube.googleapis.com/youtube/v3/search?part=snippet&amp;q=Rammstein&amp;pageToken=" &amp; Table11[PaginationToken] &amp;"&amp;key=[YOUR_API_KEY]"</f>
        <v>https://youtube.googleapis.com/youtube/v3/search?part=snippet&amp;q=Rammstein&amp;pageToken=CAoQAQ&amp;key=[YOUR_API_KEY]</v>
      </c>
    </row>
    <row r="50" spans="2:3" x14ac:dyDescent="0.25">
      <c r="B50" t="s">
        <v>35</v>
      </c>
    </row>
    <row r="51" spans="2:3" x14ac:dyDescent="0.25">
      <c r="B51" t="str">
        <f>SUBSTITUTE(B48,"[YOUR_API_KEY]","")&amp;Table1[API Key]</f>
        <v>https://youtube.googleapis.com/youtube/v3/search?part=snippet&amp;q=Rammstein&amp;pageToken=CAoQAQ&amp;key=</v>
      </c>
    </row>
    <row r="53" spans="2:3" x14ac:dyDescent="0.25">
      <c r="B53" t="s">
        <v>445</v>
      </c>
    </row>
    <row r="55" spans="2:3" x14ac:dyDescent="0.25">
      <c r="B55" s="2" t="s">
        <v>50</v>
      </c>
    </row>
    <row r="56" spans="2:3" x14ac:dyDescent="0.25">
      <c r="B56" t="s">
        <v>38</v>
      </c>
      <c r="C56" t="s">
        <v>39</v>
      </c>
    </row>
    <row r="57" spans="2:3" x14ac:dyDescent="0.25">
      <c r="B57" t="s">
        <v>402</v>
      </c>
      <c r="C57" t="s">
        <v>403</v>
      </c>
    </row>
    <row r="58" spans="2:3" x14ac:dyDescent="0.25">
      <c r="B58" t="s">
        <v>404</v>
      </c>
      <c r="C58" t="s">
        <v>446</v>
      </c>
    </row>
    <row r="59" spans="2:3" x14ac:dyDescent="0.25">
      <c r="B59" t="s">
        <v>405</v>
      </c>
      <c r="C59" t="s">
        <v>447</v>
      </c>
    </row>
    <row r="60" spans="2:3" x14ac:dyDescent="0.25">
      <c r="B60" t="s">
        <v>448</v>
      </c>
      <c r="C60" t="s">
        <v>449</v>
      </c>
    </row>
    <row r="61" spans="2:3" x14ac:dyDescent="0.25">
      <c r="B61" t="s">
        <v>407</v>
      </c>
      <c r="C61" t="s">
        <v>408</v>
      </c>
    </row>
    <row r="62" spans="2:3" x14ac:dyDescent="0.25">
      <c r="B62" t="s">
        <v>409</v>
      </c>
      <c r="C62" t="s">
        <v>32</v>
      </c>
    </row>
    <row r="63" spans="2:3" x14ac:dyDescent="0.25">
      <c r="B63" t="s">
        <v>410</v>
      </c>
      <c r="C63" t="s">
        <v>220</v>
      </c>
    </row>
    <row r="69" spans="2:12" x14ac:dyDescent="0.25">
      <c r="B69" t="s">
        <v>14</v>
      </c>
      <c r="C69" t="s">
        <v>15</v>
      </c>
      <c r="D69" t="s">
        <v>54</v>
      </c>
      <c r="E69" t="s">
        <v>18</v>
      </c>
      <c r="F69" t="s">
        <v>19</v>
      </c>
      <c r="G69" t="s">
        <v>20</v>
      </c>
      <c r="H69" t="s">
        <v>21</v>
      </c>
      <c r="I69" t="s">
        <v>22</v>
      </c>
      <c r="J69" t="s">
        <v>23</v>
      </c>
      <c r="K69" t="s">
        <v>24</v>
      </c>
      <c r="L69" t="s">
        <v>25</v>
      </c>
    </row>
    <row r="70" spans="2:12" x14ac:dyDescent="0.25">
      <c r="B70" t="s">
        <v>26</v>
      </c>
      <c r="C70" t="s">
        <v>450</v>
      </c>
      <c r="D70" t="s">
        <v>32</v>
      </c>
      <c r="E70" t="s">
        <v>451</v>
      </c>
      <c r="F70" t="s">
        <v>415</v>
      </c>
      <c r="G70" t="s">
        <v>452</v>
      </c>
      <c r="H70" t="s">
        <v>453</v>
      </c>
      <c r="I70" t="s">
        <v>32</v>
      </c>
      <c r="J70" t="s">
        <v>418</v>
      </c>
      <c r="K70" t="s">
        <v>34</v>
      </c>
      <c r="L70" t="s">
        <v>451</v>
      </c>
    </row>
    <row r="71" spans="2:12" x14ac:dyDescent="0.25">
      <c r="B71" t="s">
        <v>26</v>
      </c>
      <c r="C71" t="s">
        <v>454</v>
      </c>
      <c r="D71" t="s">
        <v>32</v>
      </c>
      <c r="E71" t="s">
        <v>455</v>
      </c>
      <c r="F71" t="s">
        <v>415</v>
      </c>
      <c r="G71" t="s">
        <v>456</v>
      </c>
      <c r="H71" t="s">
        <v>457</v>
      </c>
      <c r="I71" t="s">
        <v>32</v>
      </c>
      <c r="J71" t="s">
        <v>418</v>
      </c>
      <c r="K71" t="s">
        <v>34</v>
      </c>
      <c r="L71" t="s">
        <v>455</v>
      </c>
    </row>
    <row r="72" spans="2:12" x14ac:dyDescent="0.25">
      <c r="B72" t="s">
        <v>26</v>
      </c>
      <c r="C72" t="s">
        <v>458</v>
      </c>
      <c r="D72" t="s">
        <v>32</v>
      </c>
      <c r="E72" t="s">
        <v>459</v>
      </c>
      <c r="F72" t="s">
        <v>415</v>
      </c>
      <c r="G72" t="s">
        <v>460</v>
      </c>
      <c r="H72" t="s">
        <v>461</v>
      </c>
      <c r="I72" t="s">
        <v>32</v>
      </c>
      <c r="J72" t="s">
        <v>418</v>
      </c>
      <c r="K72" t="s">
        <v>34</v>
      </c>
      <c r="L72" t="s">
        <v>459</v>
      </c>
    </row>
    <row r="73" spans="2:12" x14ac:dyDescent="0.25">
      <c r="B73" t="s">
        <v>26</v>
      </c>
      <c r="C73" t="s">
        <v>462</v>
      </c>
      <c r="D73" t="s">
        <v>32</v>
      </c>
      <c r="E73" t="s">
        <v>463</v>
      </c>
      <c r="F73" t="s">
        <v>415</v>
      </c>
      <c r="G73" t="s">
        <v>464</v>
      </c>
      <c r="H73" t="s">
        <v>465</v>
      </c>
      <c r="I73" t="s">
        <v>32</v>
      </c>
      <c r="J73" t="s">
        <v>418</v>
      </c>
      <c r="K73" t="s">
        <v>34</v>
      </c>
      <c r="L73" t="s">
        <v>463</v>
      </c>
    </row>
    <row r="74" spans="2:12" x14ac:dyDescent="0.25">
      <c r="B74" t="s">
        <v>26</v>
      </c>
      <c r="C74" t="s">
        <v>466</v>
      </c>
      <c r="D74" t="s">
        <v>32</v>
      </c>
      <c r="E74" t="s">
        <v>467</v>
      </c>
      <c r="F74" t="s">
        <v>415</v>
      </c>
      <c r="G74" t="s">
        <v>418</v>
      </c>
      <c r="H74" t="s">
        <v>468</v>
      </c>
      <c r="I74" t="s">
        <v>32</v>
      </c>
      <c r="J74" t="s">
        <v>418</v>
      </c>
      <c r="K74" t="s">
        <v>469</v>
      </c>
      <c r="L74" t="s">
        <v>467</v>
      </c>
    </row>
  </sheetData>
  <mergeCells count="2">
    <mergeCell ref="B21:F21"/>
    <mergeCell ref="B42:F42"/>
  </mergeCells>
  <hyperlinks>
    <hyperlink ref="C4" r:id="rId1" xr:uid="{F338B3A6-1CA7-460A-B343-C2122E95A8C4}"/>
    <hyperlink ref="B12" r:id="rId2" xr:uid="{807BF98E-9A46-4393-BDB9-247CA78C0E14}"/>
    <hyperlink ref="B48" r:id="rId3" display="https://youtube.googleapis.com/youtube/v3/search?part=snippet&amp;q=Rammstein&amp;pageToken=&quot; &amp;  &amp;&quot;key=[YOUR_API_KEY]&quot;" xr:uid="{7720BF75-E034-4FBE-80F5-1911BB29C6B8}"/>
  </hyperlinks>
  <pageMargins left="0.7" right="0.7" top="0.75" bottom="0.75" header="0.3" footer="0.3"/>
  <tableParts count="5">
    <tablePart r:id="rId4"/>
    <tablePart r:id="rId5"/>
    <tablePart r:id="rId6"/>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DD85FF-E6FA-47C3-8DA7-84BFB9AA27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Linki</vt:lpstr>
      <vt:lpstr>ChannelID</vt:lpstr>
      <vt:lpstr>Playlisty</vt:lpstr>
      <vt:lpstr>Video</vt:lpstr>
      <vt:lpstr>Komentarze</vt:lpstr>
      <vt:lpstr>Paginacja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Jakub Rybacki</dc:creator>
  <cp:lastModifiedBy>Jakub Rybacki</cp:lastModifiedBy>
  <dcterms:created xsi:type="dcterms:W3CDTF">2022-05-03T16:00:51Z</dcterms:created>
  <dcterms:modified xsi:type="dcterms:W3CDTF">2022-11-17T10:15:51Z</dcterms:modified>
</cp:coreProperties>
</file>